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OneDrive\Documents\PPK TERBARU 1 FOLDER\"/>
    </mc:Choice>
  </mc:AlternateContent>
  <xr:revisionPtr revIDLastSave="0" documentId="13_ncr:1_{002B27C0-E9DE-45A0-83EB-2A18F2A5A9F2}" xr6:coauthVersionLast="46" xr6:coauthVersionMax="47" xr10:uidLastSave="{00000000-0000-0000-0000-000000000000}"/>
  <bookViews>
    <workbookView xWindow="-108" yWindow="-108" windowWidth="23256" windowHeight="12456" tabRatio="560" activeTab="5" xr2:uid="{00000000-000D-0000-FFFF-FFFF00000000}"/>
  </bookViews>
  <sheets>
    <sheet name="READ ME" sheetId="5" r:id="rId1"/>
    <sheet name="Tabel Offset" sheetId="2" r:id="rId2"/>
    <sheet name="Sheet1" sheetId="7" r:id="rId3"/>
    <sheet name="Perhitungan Main Part" sheetId="3" r:id="rId4"/>
    <sheet name="Perhitungan Cant Part" sheetId="6" r:id="rId5"/>
    <sheet name="Sketsa Bonjean" sheetId="4" r:id="rId6"/>
  </sheets>
  <definedNames>
    <definedName name="_xlnm.Print_Area" localSheetId="4">'Perhitungan Cant Part'!$A$11:$P$62</definedName>
    <definedName name="_xlnm.Print_Area" localSheetId="3">'Perhitungan Main Part'!$B$1:$EE$30</definedName>
    <definedName name="_xlnm.Print_Area" localSheetId="5">'Sketsa Bonjean'!$Q$1:$AG$31</definedName>
    <definedName name="_xlnm.Print_Area" localSheetId="1">'Tabel Offset'!$A$1:$AB$31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" i="4" l="1"/>
  <c r="T31" i="4" l="1"/>
  <c r="AZ8" i="3"/>
  <c r="AZ9" i="3"/>
  <c r="AZ10" i="3"/>
  <c r="AZ11" i="3"/>
  <c r="AZ12" i="3"/>
  <c r="AZ13" i="3"/>
  <c r="AZ14" i="3"/>
  <c r="AZ15" i="3"/>
  <c r="AZ16" i="3"/>
  <c r="AZ17" i="3"/>
  <c r="AZ18" i="3"/>
  <c r="AZ19" i="3"/>
  <c r="AZ20" i="3"/>
  <c r="AZ21" i="3"/>
  <c r="AZ22" i="3"/>
  <c r="AZ23" i="3"/>
  <c r="AZ24" i="3"/>
  <c r="AZ25" i="3"/>
  <c r="AZ26" i="3"/>
  <c r="AZ27" i="3"/>
  <c r="AZ28" i="3"/>
  <c r="AZ29" i="3"/>
  <c r="AZ30" i="3"/>
  <c r="AZ7" i="3"/>
  <c r="AR7" i="3"/>
  <c r="AP8" i="3"/>
  <c r="AP9" i="3"/>
  <c r="AP10" i="3"/>
  <c r="AP11" i="3"/>
  <c r="AP12" i="3"/>
  <c r="AP13" i="3"/>
  <c r="AP14" i="3"/>
  <c r="AP15" i="3"/>
  <c r="AP16" i="3"/>
  <c r="AP17" i="3"/>
  <c r="AP18" i="3"/>
  <c r="AP19" i="3"/>
  <c r="AP20" i="3"/>
  <c r="AP21" i="3"/>
  <c r="AP22" i="3"/>
  <c r="AP23" i="3"/>
  <c r="AP24" i="3"/>
  <c r="AP25" i="3"/>
  <c r="AP26" i="3"/>
  <c r="AP27" i="3"/>
  <c r="AP28" i="3"/>
  <c r="AP29" i="3"/>
  <c r="AP30" i="3"/>
  <c r="AP7" i="3"/>
  <c r="AN8" i="3"/>
  <c r="AN9" i="3"/>
  <c r="AN10" i="3"/>
  <c r="AN11" i="3"/>
  <c r="AN12" i="3"/>
  <c r="AN13" i="3"/>
  <c r="AN14" i="3"/>
  <c r="AN15" i="3"/>
  <c r="AN16" i="3"/>
  <c r="AN17" i="3"/>
  <c r="AN18" i="3"/>
  <c r="AN19" i="3"/>
  <c r="AN20" i="3"/>
  <c r="AN21" i="3"/>
  <c r="AN22" i="3"/>
  <c r="AN23" i="3"/>
  <c r="AN24" i="3"/>
  <c r="AN25" i="3"/>
  <c r="AN26" i="3"/>
  <c r="AN27" i="3"/>
  <c r="AN28" i="3"/>
  <c r="AN29" i="3"/>
  <c r="AN30" i="3"/>
  <c r="AN7" i="3"/>
  <c r="AF8" i="3"/>
  <c r="AF9" i="3"/>
  <c r="AF10" i="3"/>
  <c r="AF11" i="3"/>
  <c r="AF12" i="3"/>
  <c r="AF13" i="3"/>
  <c r="AF14" i="3"/>
  <c r="AF15" i="3"/>
  <c r="AF16" i="3"/>
  <c r="AF17" i="3"/>
  <c r="AF18" i="3"/>
  <c r="AF19" i="3"/>
  <c r="AF20" i="3"/>
  <c r="AF21" i="3"/>
  <c r="AF22" i="3"/>
  <c r="AF23" i="3"/>
  <c r="AF24" i="3"/>
  <c r="AF25" i="3"/>
  <c r="AF26" i="3"/>
  <c r="AF27" i="3"/>
  <c r="AF28" i="3"/>
  <c r="AF29" i="3"/>
  <c r="AF30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F7" i="3"/>
  <c r="AD7" i="3"/>
  <c r="DZ6" i="3"/>
  <c r="EB6" i="3"/>
  <c r="EC6" i="3" s="1"/>
  <c r="ED6" i="3" s="1"/>
  <c r="H52" i="6" l="1"/>
  <c r="H53" i="6"/>
  <c r="H51" i="6"/>
  <c r="I7" i="6" l="1"/>
  <c r="J7" i="6" s="1"/>
  <c r="I8" i="6"/>
  <c r="J8" i="6" s="1"/>
  <c r="I6" i="6"/>
  <c r="J6" i="6" s="1"/>
  <c r="F7" i="6"/>
  <c r="G7" i="6" s="1"/>
  <c r="F8" i="6"/>
  <c r="G8" i="6" s="1"/>
  <c r="F6" i="6"/>
  <c r="G6" i="6" s="1"/>
  <c r="D7" i="6"/>
  <c r="E7" i="6" s="1"/>
  <c r="D8" i="6"/>
  <c r="E8" i="6" s="1"/>
  <c r="D6" i="6"/>
  <c r="E6" i="6" s="1"/>
  <c r="D15" i="6"/>
  <c r="E15" i="6" s="1"/>
  <c r="F15" i="6"/>
  <c r="G15" i="6" s="1"/>
  <c r="I15" i="6"/>
  <c r="J15" i="6" s="1"/>
  <c r="I25" i="6"/>
  <c r="J25" i="6" s="1"/>
  <c r="I26" i="6"/>
  <c r="J26" i="6" s="1"/>
  <c r="I24" i="6"/>
  <c r="J24" i="6" s="1"/>
  <c r="F25" i="6"/>
  <c r="G25" i="6" s="1"/>
  <c r="F26" i="6"/>
  <c r="G26" i="6" s="1"/>
  <c r="F24" i="6"/>
  <c r="G24" i="6" s="1"/>
  <c r="I16" i="6"/>
  <c r="J16" i="6" s="1"/>
  <c r="I17" i="6"/>
  <c r="J17" i="6" s="1"/>
  <c r="F16" i="6"/>
  <c r="G16" i="6" s="1"/>
  <c r="F17" i="6"/>
  <c r="G17" i="6" s="1"/>
  <c r="D26" i="6"/>
  <c r="E26" i="6" s="1"/>
  <c r="D25" i="6"/>
  <c r="E25" i="6" s="1"/>
  <c r="D24" i="6"/>
  <c r="E24" i="6" s="1"/>
  <c r="D17" i="6"/>
  <c r="E17" i="6" s="1"/>
  <c r="D16" i="6"/>
  <c r="E16" i="6" s="1"/>
  <c r="L8" i="6" l="1"/>
  <c r="L7" i="6"/>
  <c r="L6" i="6"/>
  <c r="L15" i="6"/>
  <c r="L25" i="6"/>
  <c r="L26" i="6"/>
  <c r="L24" i="6"/>
  <c r="L16" i="6"/>
  <c r="L17" i="6"/>
  <c r="T30" i="4" l="1"/>
  <c r="T29" i="4"/>
  <c r="F53" i="6"/>
  <c r="D33" i="6"/>
  <c r="Y5" i="2"/>
  <c r="C15" i="6" l="1"/>
  <c r="C6" i="6"/>
  <c r="T18" i="4"/>
  <c r="C24" i="6" l="1"/>
  <c r="C33" i="6"/>
  <c r="N30" i="4"/>
  <c r="T8" i="4"/>
  <c r="T7" i="4"/>
  <c r="T4" i="4" l="1"/>
  <c r="I43" i="6" l="1"/>
  <c r="D52" i="6" s="1"/>
  <c r="I44" i="6"/>
  <c r="D53" i="6" s="1"/>
  <c r="I42" i="6"/>
  <c r="D51" i="6" s="1"/>
  <c r="F43" i="6"/>
  <c r="F44" i="6"/>
  <c r="F42" i="6"/>
  <c r="I34" i="6"/>
  <c r="D43" i="6" s="1"/>
  <c r="I35" i="6"/>
  <c r="I33" i="6"/>
  <c r="F34" i="6"/>
  <c r="F35" i="6"/>
  <c r="F33" i="6"/>
  <c r="D35" i="6"/>
  <c r="D34" i="6"/>
  <c r="DX4" i="3"/>
  <c r="T4" i="2" l="1"/>
  <c r="U4" i="2" s="1"/>
  <c r="DT30" i="3"/>
  <c r="DT29" i="3"/>
  <c r="DT28" i="3"/>
  <c r="DT27" i="3"/>
  <c r="DT26" i="3"/>
  <c r="DT25" i="3"/>
  <c r="DT24" i="3"/>
  <c r="DT23" i="3"/>
  <c r="DT22" i="3"/>
  <c r="DT21" i="3"/>
  <c r="DT20" i="3"/>
  <c r="DT19" i="3"/>
  <c r="DT18" i="3"/>
  <c r="DT17" i="3"/>
  <c r="DT16" i="3"/>
  <c r="DT15" i="3"/>
  <c r="DT14" i="3"/>
  <c r="DT13" i="3"/>
  <c r="DT12" i="3"/>
  <c r="DT11" i="3"/>
  <c r="DT10" i="3"/>
  <c r="DT9" i="3"/>
  <c r="DT8" i="3"/>
  <c r="DT7" i="3"/>
  <c r="DT6" i="3"/>
  <c r="S4" i="2" l="1"/>
  <c r="DZ25" i="3" l="1"/>
  <c r="DH2" i="3"/>
  <c r="DH7" i="3"/>
  <c r="DI7" i="3" s="1"/>
  <c r="DJ7" i="3"/>
  <c r="DK7" i="3" s="1"/>
  <c r="CY2" i="3"/>
  <c r="G29" i="6" s="1"/>
  <c r="D38" i="6" s="1"/>
  <c r="D39" i="6" s="1"/>
  <c r="CZ7" i="3"/>
  <c r="DA7" i="3" s="1"/>
  <c r="CX7" i="3"/>
  <c r="CY7" i="3" s="1"/>
  <c r="DZ7" i="3"/>
  <c r="DH8" i="3"/>
  <c r="DI8" i="3" s="1"/>
  <c r="DJ8" i="3"/>
  <c r="DK8" i="3" s="1"/>
  <c r="CZ8" i="3"/>
  <c r="DA8" i="3" s="1"/>
  <c r="CX8" i="3"/>
  <c r="CY8" i="3" s="1"/>
  <c r="R8" i="3"/>
  <c r="S8" i="3" s="1"/>
  <c r="DZ8" i="3"/>
  <c r="DH9" i="3"/>
  <c r="DI9" i="3" s="1"/>
  <c r="DJ9" i="3"/>
  <c r="DK9" i="3" s="1"/>
  <c r="CZ9" i="3"/>
  <c r="DA9" i="3" s="1"/>
  <c r="CX9" i="3"/>
  <c r="CY9" i="3" s="1"/>
  <c r="F9" i="3"/>
  <c r="G9" i="3" s="1"/>
  <c r="R9" i="3"/>
  <c r="S9" i="3" s="1"/>
  <c r="DZ9" i="3"/>
  <c r="DH10" i="3"/>
  <c r="DI10" i="3" s="1"/>
  <c r="DJ10" i="3"/>
  <c r="DK10" i="3" s="1"/>
  <c r="CZ10" i="3"/>
  <c r="DA10" i="3" s="1"/>
  <c r="CX10" i="3"/>
  <c r="CY10" i="3" s="1"/>
  <c r="F10" i="3"/>
  <c r="G10" i="3" s="1"/>
  <c r="R10" i="3"/>
  <c r="S10" i="3" s="1"/>
  <c r="DZ10" i="3"/>
  <c r="DH11" i="3"/>
  <c r="DI11" i="3" s="1"/>
  <c r="DJ11" i="3"/>
  <c r="DK11" i="3" s="1"/>
  <c r="CZ11" i="3"/>
  <c r="DA11" i="3" s="1"/>
  <c r="CX11" i="3"/>
  <c r="CY11" i="3" s="1"/>
  <c r="F11" i="3"/>
  <c r="G11" i="3" s="1"/>
  <c r="R11" i="3"/>
  <c r="S11" i="3" s="1"/>
  <c r="DZ11" i="3"/>
  <c r="DH12" i="3"/>
  <c r="DI12" i="3" s="1"/>
  <c r="DJ12" i="3"/>
  <c r="DK12" i="3" s="1"/>
  <c r="CZ12" i="3"/>
  <c r="DA12" i="3" s="1"/>
  <c r="CX12" i="3"/>
  <c r="CY12" i="3" s="1"/>
  <c r="F12" i="3"/>
  <c r="G12" i="3" s="1"/>
  <c r="R12" i="3"/>
  <c r="S12" i="3" s="1"/>
  <c r="DH13" i="3"/>
  <c r="DI13" i="3" s="1"/>
  <c r="CZ13" i="3"/>
  <c r="DA13" i="3" s="1"/>
  <c r="F13" i="3"/>
  <c r="G13" i="3" s="1"/>
  <c r="R13" i="3"/>
  <c r="S13" i="3" s="1"/>
  <c r="DH14" i="3"/>
  <c r="DI14" i="3" s="1"/>
  <c r="CZ14" i="3"/>
  <c r="DA14" i="3" s="1"/>
  <c r="F14" i="3"/>
  <c r="G14" i="3" s="1"/>
  <c r="DH15" i="3"/>
  <c r="DI15" i="3" s="1"/>
  <c r="CZ15" i="3"/>
  <c r="DA15" i="3" s="1"/>
  <c r="F15" i="3"/>
  <c r="G15" i="3" s="1"/>
  <c r="DH16" i="3"/>
  <c r="DI16" i="3" s="1"/>
  <c r="CZ16" i="3"/>
  <c r="DA16" i="3" s="1"/>
  <c r="F16" i="3"/>
  <c r="G16" i="3" s="1"/>
  <c r="DH17" i="3"/>
  <c r="DI17" i="3" s="1"/>
  <c r="CZ17" i="3"/>
  <c r="DA17" i="3" s="1"/>
  <c r="F17" i="3"/>
  <c r="G17" i="3" s="1"/>
  <c r="DH18" i="3"/>
  <c r="DI18" i="3" s="1"/>
  <c r="CZ18" i="3"/>
  <c r="DA18" i="3" s="1"/>
  <c r="F18" i="3"/>
  <c r="G18" i="3" s="1"/>
  <c r="DH19" i="3"/>
  <c r="DI19" i="3" s="1"/>
  <c r="CZ19" i="3"/>
  <c r="DA19" i="3" s="1"/>
  <c r="F19" i="3"/>
  <c r="G19" i="3" s="1"/>
  <c r="DH20" i="3"/>
  <c r="DI20" i="3" s="1"/>
  <c r="CZ20" i="3"/>
  <c r="DA20" i="3" s="1"/>
  <c r="F20" i="3"/>
  <c r="G20" i="3" s="1"/>
  <c r="DH21" i="3"/>
  <c r="DI21" i="3" s="1"/>
  <c r="CZ21" i="3"/>
  <c r="DA21" i="3" s="1"/>
  <c r="F21" i="3"/>
  <c r="G21" i="3" s="1"/>
  <c r="DH22" i="3"/>
  <c r="DI22" i="3" s="1"/>
  <c r="CZ22" i="3"/>
  <c r="DA22" i="3" s="1"/>
  <c r="F22" i="3"/>
  <c r="G22" i="3" s="1"/>
  <c r="DH23" i="3"/>
  <c r="DI23" i="3" s="1"/>
  <c r="CZ23" i="3"/>
  <c r="DA23" i="3" s="1"/>
  <c r="F23" i="3"/>
  <c r="G23" i="3" s="1"/>
  <c r="DH24" i="3"/>
  <c r="DI24" i="3" s="1"/>
  <c r="CZ24" i="3"/>
  <c r="DA24" i="3" s="1"/>
  <c r="F24" i="3"/>
  <c r="G24" i="3" s="1"/>
  <c r="R24" i="3"/>
  <c r="S24" i="3" s="1"/>
  <c r="DH25" i="3"/>
  <c r="DI25" i="3" s="1"/>
  <c r="DJ25" i="3"/>
  <c r="DK25" i="3" s="1"/>
  <c r="CZ25" i="3"/>
  <c r="DA25" i="3" s="1"/>
  <c r="CX25" i="3"/>
  <c r="CY25" i="3" s="1"/>
  <c r="F25" i="3"/>
  <c r="G25" i="3" s="1"/>
  <c r="R25" i="3"/>
  <c r="S25" i="3" s="1"/>
  <c r="DH26" i="3"/>
  <c r="DI26" i="3" s="1"/>
  <c r="DJ26" i="3"/>
  <c r="DK26" i="3" s="1"/>
  <c r="CZ26" i="3"/>
  <c r="DA26" i="3" s="1"/>
  <c r="CX26" i="3"/>
  <c r="CY26" i="3" s="1"/>
  <c r="F26" i="3"/>
  <c r="G26" i="3" s="1"/>
  <c r="R26" i="3"/>
  <c r="S26" i="3" s="1"/>
  <c r="DZ26" i="3"/>
  <c r="DH27" i="3"/>
  <c r="DI27" i="3" s="1"/>
  <c r="DJ27" i="3"/>
  <c r="DK27" i="3" s="1"/>
  <c r="CZ27" i="3"/>
  <c r="DA27" i="3" s="1"/>
  <c r="CX27" i="3"/>
  <c r="CY27" i="3" s="1"/>
  <c r="F27" i="3"/>
  <c r="G27" i="3" s="1"/>
  <c r="R27" i="3"/>
  <c r="S27" i="3" s="1"/>
  <c r="DZ27" i="3"/>
  <c r="DH28" i="3"/>
  <c r="DI28" i="3" s="1"/>
  <c r="DJ28" i="3"/>
  <c r="DK28" i="3" s="1"/>
  <c r="CZ28" i="3"/>
  <c r="DA28" i="3" s="1"/>
  <c r="CX28" i="3"/>
  <c r="CY28" i="3" s="1"/>
  <c r="F28" i="3"/>
  <c r="G28" i="3" s="1"/>
  <c r="R28" i="3"/>
  <c r="S28" i="3" s="1"/>
  <c r="DZ28" i="3"/>
  <c r="DH29" i="3"/>
  <c r="DI29" i="3" s="1"/>
  <c r="DJ29" i="3"/>
  <c r="DK29" i="3" s="1"/>
  <c r="CZ29" i="3"/>
  <c r="DA29" i="3" s="1"/>
  <c r="CX29" i="3"/>
  <c r="CY29" i="3" s="1"/>
  <c r="F29" i="3"/>
  <c r="G29" i="3" s="1"/>
  <c r="R29" i="3"/>
  <c r="S29" i="3" s="1"/>
  <c r="DZ29" i="3"/>
  <c r="DH30" i="3"/>
  <c r="DI30" i="3" s="1"/>
  <c r="DJ30" i="3"/>
  <c r="DK30" i="3" s="1"/>
  <c r="CZ30" i="3"/>
  <c r="DA30" i="3" s="1"/>
  <c r="CX30" i="3"/>
  <c r="CY30" i="3" s="1"/>
  <c r="DZ30" i="3"/>
  <c r="DH6" i="3"/>
  <c r="DI6" i="3" s="1"/>
  <c r="DJ6" i="3"/>
  <c r="DK6" i="3" s="1"/>
  <c r="CZ6" i="3"/>
  <c r="DA6" i="3" s="1"/>
  <c r="CX6" i="3"/>
  <c r="CY6" i="3" s="1"/>
  <c r="S28" i="4"/>
  <c r="B27" i="4"/>
  <c r="R27" i="4" s="1"/>
  <c r="B26" i="4"/>
  <c r="R26" i="4" s="1"/>
  <c r="B25" i="4"/>
  <c r="R25" i="4" s="1"/>
  <c r="B24" i="4"/>
  <c r="R24" i="4" s="1"/>
  <c r="B23" i="4"/>
  <c r="R23" i="4" s="1"/>
  <c r="B22" i="4"/>
  <c r="R22" i="4" s="1"/>
  <c r="B21" i="4"/>
  <c r="R21" i="4" s="1"/>
  <c r="B20" i="4"/>
  <c r="R20" i="4" s="1"/>
  <c r="B19" i="4"/>
  <c r="R19" i="4" s="1"/>
  <c r="B18" i="4"/>
  <c r="R18" i="4" s="1"/>
  <c r="B17" i="4"/>
  <c r="R17" i="4" s="1"/>
  <c r="B16" i="4"/>
  <c r="R16" i="4" s="1"/>
  <c r="B15" i="4"/>
  <c r="R15" i="4" s="1"/>
  <c r="B14" i="4"/>
  <c r="R14" i="4" s="1"/>
  <c r="B13" i="4"/>
  <c r="R13" i="4" s="1"/>
  <c r="B12" i="4"/>
  <c r="R12" i="4" s="1"/>
  <c r="B11" i="4"/>
  <c r="R11" i="4" s="1"/>
  <c r="B10" i="4"/>
  <c r="R10" i="4" s="1"/>
  <c r="B9" i="4"/>
  <c r="R9" i="4" s="1"/>
  <c r="B8" i="4"/>
  <c r="R8" i="4" s="1"/>
  <c r="B7" i="4"/>
  <c r="R7" i="4" s="1"/>
  <c r="B6" i="4"/>
  <c r="R6" i="4" s="1"/>
  <c r="B5" i="4"/>
  <c r="R5" i="4" s="1"/>
  <c r="AG9" i="4"/>
  <c r="BC7" i="4" s="1"/>
  <c r="M2" i="4"/>
  <c r="AD2" i="4" s="1"/>
  <c r="E43" i="6"/>
  <c r="G43" i="6"/>
  <c r="J43" i="6"/>
  <c r="D44" i="6"/>
  <c r="E44" i="6" s="1"/>
  <c r="G44" i="6"/>
  <c r="J44" i="6"/>
  <c r="D42" i="6"/>
  <c r="E42" i="6" s="1"/>
  <c r="G42" i="6"/>
  <c r="J42" i="6"/>
  <c r="E53" i="6"/>
  <c r="G53" i="6"/>
  <c r="J53" i="6"/>
  <c r="E35" i="6"/>
  <c r="G35" i="6"/>
  <c r="J35" i="6"/>
  <c r="E52" i="6"/>
  <c r="G52" i="6"/>
  <c r="J52" i="6"/>
  <c r="E34" i="6"/>
  <c r="G34" i="6"/>
  <c r="J34" i="6"/>
  <c r="E51" i="6"/>
  <c r="G51" i="6"/>
  <c r="J51" i="6"/>
  <c r="E33" i="6"/>
  <c r="G33" i="6"/>
  <c r="J33" i="6"/>
  <c r="I48" i="6"/>
  <c r="AG4" i="4"/>
  <c r="C62" i="4" s="1"/>
  <c r="I63" i="4" s="1"/>
  <c r="U2" i="4"/>
  <c r="T5" i="4"/>
  <c r="AG5" i="4"/>
  <c r="BC3" i="4" s="1"/>
  <c r="AL36" i="4" s="1"/>
  <c r="T6" i="4"/>
  <c r="AG6" i="4"/>
  <c r="BC4" i="4" s="1"/>
  <c r="AG7" i="4"/>
  <c r="BC5" i="4" s="1"/>
  <c r="AG8" i="4"/>
  <c r="BC6" i="4" s="1"/>
  <c r="T9" i="4"/>
  <c r="T10" i="4"/>
  <c r="AG10" i="4"/>
  <c r="BC8" i="4" s="1"/>
  <c r="T11" i="4"/>
  <c r="AG11" i="4"/>
  <c r="BC9" i="4" s="1"/>
  <c r="T12" i="4"/>
  <c r="AG12" i="4"/>
  <c r="BC10" i="4" s="1"/>
  <c r="T13" i="4"/>
  <c r="AG13" i="4"/>
  <c r="BC11" i="4" s="1"/>
  <c r="T14" i="4"/>
  <c r="AG14" i="4"/>
  <c r="BC12" i="4" s="1"/>
  <c r="T15" i="4"/>
  <c r="AG15" i="4"/>
  <c r="BC13" i="4" s="1"/>
  <c r="T16" i="4"/>
  <c r="AG16" i="4"/>
  <c r="BC14" i="4" s="1"/>
  <c r="T17" i="4"/>
  <c r="AG17" i="4"/>
  <c r="BC15" i="4" s="1"/>
  <c r="AG18" i="4"/>
  <c r="BC16" i="4" s="1"/>
  <c r="T19" i="4"/>
  <c r="AG19" i="4"/>
  <c r="BC17" i="4" s="1"/>
  <c r="T20" i="4"/>
  <c r="AG20" i="4"/>
  <c r="BC18" i="4" s="1"/>
  <c r="T21" i="4"/>
  <c r="AG21" i="4"/>
  <c r="BC19" i="4" s="1"/>
  <c r="T22" i="4"/>
  <c r="AG22" i="4"/>
  <c r="BC20" i="4" s="1"/>
  <c r="T23" i="4"/>
  <c r="AG23" i="4"/>
  <c r="BC21" i="4" s="1"/>
  <c r="T24" i="4"/>
  <c r="AG24" i="4"/>
  <c r="BC22" i="4" s="1"/>
  <c r="T25" i="4"/>
  <c r="AG25" i="4"/>
  <c r="BC23" i="4" s="1"/>
  <c r="T26" i="4"/>
  <c r="AG26" i="4"/>
  <c r="BC24" i="4" s="1"/>
  <c r="T27" i="4"/>
  <c r="AG27" i="4"/>
  <c r="BC25" i="4" s="1"/>
  <c r="T28" i="4"/>
  <c r="AG28" i="4"/>
  <c r="BC26" i="4" s="1"/>
  <c r="CB7" i="3"/>
  <c r="CC7" i="3" s="1"/>
  <c r="CB8" i="3"/>
  <c r="CC8" i="3" s="1"/>
  <c r="CB9" i="3"/>
  <c r="CC9" i="3" s="1"/>
  <c r="CB10" i="3"/>
  <c r="CC10" i="3" s="1"/>
  <c r="CB11" i="3"/>
  <c r="CC11" i="3" s="1"/>
  <c r="CB12" i="3"/>
  <c r="CC12" i="3" s="1"/>
  <c r="CB13" i="3"/>
  <c r="CC13" i="3" s="1"/>
  <c r="CB14" i="3"/>
  <c r="CC14" i="3" s="1"/>
  <c r="CB15" i="3"/>
  <c r="CC15" i="3" s="1"/>
  <c r="CB16" i="3"/>
  <c r="CC16" i="3" s="1"/>
  <c r="CB17" i="3"/>
  <c r="CB18" i="3"/>
  <c r="CC18" i="3" s="1"/>
  <c r="CB19" i="3"/>
  <c r="CC19" i="3" s="1"/>
  <c r="CB20" i="3"/>
  <c r="CC20" i="3" s="1"/>
  <c r="CB21" i="3"/>
  <c r="CC21" i="3" s="1"/>
  <c r="CB22" i="3"/>
  <c r="CC22" i="3" s="1"/>
  <c r="CB23" i="3"/>
  <c r="CC23" i="3" s="1"/>
  <c r="CB24" i="3"/>
  <c r="CC24" i="3" s="1"/>
  <c r="CB25" i="3"/>
  <c r="CC25" i="3" s="1"/>
  <c r="CB26" i="3"/>
  <c r="CC26" i="3" s="1"/>
  <c r="CB27" i="3"/>
  <c r="CC27" i="3" s="1"/>
  <c r="CB28" i="3"/>
  <c r="CC28" i="3" s="1"/>
  <c r="CB29" i="3"/>
  <c r="CC29" i="3" s="1"/>
  <c r="CB30" i="3"/>
  <c r="CC30" i="3" s="1"/>
  <c r="CN7" i="3"/>
  <c r="CO7" i="3" s="1"/>
  <c r="CN8" i="3"/>
  <c r="CO8" i="3" s="1"/>
  <c r="CN9" i="3"/>
  <c r="CO9" i="3" s="1"/>
  <c r="CN10" i="3"/>
  <c r="CO10" i="3" s="1"/>
  <c r="CN11" i="3"/>
  <c r="CO11" i="3" s="1"/>
  <c r="CN12" i="3"/>
  <c r="CO12" i="3" s="1"/>
  <c r="CN13" i="3"/>
  <c r="CO13" i="3" s="1"/>
  <c r="CN14" i="3"/>
  <c r="CO14" i="3" s="1"/>
  <c r="CN15" i="3"/>
  <c r="CO15" i="3" s="1"/>
  <c r="CN16" i="3"/>
  <c r="CO16" i="3" s="1"/>
  <c r="CN17" i="3"/>
  <c r="CO17" i="3" s="1"/>
  <c r="CN18" i="3"/>
  <c r="CN19" i="3"/>
  <c r="CO19" i="3" s="1"/>
  <c r="CN20" i="3"/>
  <c r="CO20" i="3" s="1"/>
  <c r="CN21" i="3"/>
  <c r="CO21" i="3" s="1"/>
  <c r="CN22" i="3"/>
  <c r="CO22" i="3" s="1"/>
  <c r="CN23" i="3"/>
  <c r="CO23" i="3" s="1"/>
  <c r="CN24" i="3"/>
  <c r="CO24" i="3" s="1"/>
  <c r="CN25" i="3"/>
  <c r="CO25" i="3" s="1"/>
  <c r="CN26" i="3"/>
  <c r="CO26" i="3" s="1"/>
  <c r="CN27" i="3"/>
  <c r="CN28" i="3"/>
  <c r="CO28" i="3" s="1"/>
  <c r="CN29" i="3"/>
  <c r="CO29" i="3" s="1"/>
  <c r="CN30" i="3"/>
  <c r="CO30" i="3" s="1"/>
  <c r="CN6" i="3"/>
  <c r="CO6" i="3" s="1"/>
  <c r="CL7" i="3"/>
  <c r="CM7" i="3" s="1"/>
  <c r="CL8" i="3"/>
  <c r="CM8" i="3" s="1"/>
  <c r="CL9" i="3"/>
  <c r="CM9" i="3" s="1"/>
  <c r="CL10" i="3"/>
  <c r="CM10" i="3" s="1"/>
  <c r="CL11" i="3"/>
  <c r="CM11" i="3" s="1"/>
  <c r="CL12" i="3"/>
  <c r="CM12" i="3" s="1"/>
  <c r="CL13" i="3"/>
  <c r="CM13" i="3" s="1"/>
  <c r="CL14" i="3"/>
  <c r="CM14" i="3" s="1"/>
  <c r="CL15" i="3"/>
  <c r="CM15" i="3" s="1"/>
  <c r="CL16" i="3"/>
  <c r="CM16" i="3" s="1"/>
  <c r="CL17" i="3"/>
  <c r="CM17" i="3" s="1"/>
  <c r="CL18" i="3"/>
  <c r="CM18" i="3" s="1"/>
  <c r="CL19" i="3"/>
  <c r="CM19" i="3" s="1"/>
  <c r="CL20" i="3"/>
  <c r="CM20" i="3" s="1"/>
  <c r="CL21" i="3"/>
  <c r="CM21" i="3" s="1"/>
  <c r="CL22" i="3"/>
  <c r="CM22" i="3" s="1"/>
  <c r="CL23" i="3"/>
  <c r="CM23" i="3" s="1"/>
  <c r="CL24" i="3"/>
  <c r="CM24" i="3" s="1"/>
  <c r="CL25" i="3"/>
  <c r="CM25" i="3" s="1"/>
  <c r="CL26" i="3"/>
  <c r="CL27" i="3"/>
  <c r="CM27" i="3" s="1"/>
  <c r="CL28" i="3"/>
  <c r="CM28" i="3" s="1"/>
  <c r="CL29" i="3"/>
  <c r="CM29" i="3" s="1"/>
  <c r="CL30" i="3"/>
  <c r="CM30" i="3" s="1"/>
  <c r="CJ7" i="3"/>
  <c r="CK7" i="3" s="1"/>
  <c r="CJ8" i="3"/>
  <c r="CK8" i="3" s="1"/>
  <c r="CJ9" i="3"/>
  <c r="CK9" i="3" s="1"/>
  <c r="CJ10" i="3"/>
  <c r="CK10" i="3" s="1"/>
  <c r="CJ11" i="3"/>
  <c r="CK11" i="3" s="1"/>
  <c r="CJ12" i="3"/>
  <c r="CK12" i="3" s="1"/>
  <c r="CJ13" i="3"/>
  <c r="CK13" i="3" s="1"/>
  <c r="CJ14" i="3"/>
  <c r="CK14" i="3" s="1"/>
  <c r="CJ15" i="3"/>
  <c r="CK15" i="3" s="1"/>
  <c r="CJ16" i="3"/>
  <c r="CK16" i="3" s="1"/>
  <c r="CJ17" i="3"/>
  <c r="CK17" i="3" s="1"/>
  <c r="CJ18" i="3"/>
  <c r="CK18" i="3" s="1"/>
  <c r="CJ19" i="3"/>
  <c r="CK19" i="3" s="1"/>
  <c r="CJ20" i="3"/>
  <c r="CK20" i="3" s="1"/>
  <c r="CJ21" i="3"/>
  <c r="CK21" i="3" s="1"/>
  <c r="CJ22" i="3"/>
  <c r="CK22" i="3" s="1"/>
  <c r="CJ23" i="3"/>
  <c r="CK23" i="3" s="1"/>
  <c r="CJ24" i="3"/>
  <c r="CK24" i="3" s="1"/>
  <c r="CJ25" i="3"/>
  <c r="CK25" i="3" s="1"/>
  <c r="CJ26" i="3"/>
  <c r="CK26" i="3" s="1"/>
  <c r="CJ27" i="3"/>
  <c r="CK27" i="3" s="1"/>
  <c r="CJ28" i="3"/>
  <c r="CK28" i="3" s="1"/>
  <c r="CJ29" i="3"/>
  <c r="CK29" i="3" s="1"/>
  <c r="CJ30" i="3"/>
  <c r="CK30" i="3" s="1"/>
  <c r="CX13" i="3"/>
  <c r="CY13" i="3" s="1"/>
  <c r="CX14" i="3"/>
  <c r="CY14" i="3" s="1"/>
  <c r="CX15" i="3"/>
  <c r="CY15" i="3" s="1"/>
  <c r="CX16" i="3"/>
  <c r="CY16" i="3" s="1"/>
  <c r="CX17" i="3"/>
  <c r="CY17" i="3" s="1"/>
  <c r="CX18" i="3"/>
  <c r="CY18" i="3" s="1"/>
  <c r="CX19" i="3"/>
  <c r="CY19" i="3" s="1"/>
  <c r="CX20" i="3"/>
  <c r="CY20" i="3" s="1"/>
  <c r="CX21" i="3"/>
  <c r="CY21" i="3" s="1"/>
  <c r="CX22" i="3"/>
  <c r="CX23" i="3"/>
  <c r="CY23" i="3" s="1"/>
  <c r="CX24" i="3"/>
  <c r="CY24" i="3" s="1"/>
  <c r="CV7" i="3"/>
  <c r="CW7" i="3" s="1"/>
  <c r="CV8" i="3"/>
  <c r="CW8" i="3" s="1"/>
  <c r="CV9" i="3"/>
  <c r="CW9" i="3" s="1"/>
  <c r="CV10" i="3"/>
  <c r="CW10" i="3" s="1"/>
  <c r="CV11" i="3"/>
  <c r="CW11" i="3" s="1"/>
  <c r="CV12" i="3"/>
  <c r="CW12" i="3" s="1"/>
  <c r="CV13" i="3"/>
  <c r="CW13" i="3" s="1"/>
  <c r="CV14" i="3"/>
  <c r="CW14" i="3" s="1"/>
  <c r="CV15" i="3"/>
  <c r="CW15" i="3" s="1"/>
  <c r="CV16" i="3"/>
  <c r="CW16" i="3" s="1"/>
  <c r="CV17" i="3"/>
  <c r="CW17" i="3" s="1"/>
  <c r="CV18" i="3"/>
  <c r="CW18" i="3" s="1"/>
  <c r="CV19" i="3"/>
  <c r="CW19" i="3" s="1"/>
  <c r="CV20" i="3"/>
  <c r="CW20" i="3" s="1"/>
  <c r="CV21" i="3"/>
  <c r="CW21" i="3" s="1"/>
  <c r="CV22" i="3"/>
  <c r="CW22" i="3" s="1"/>
  <c r="CV23" i="3"/>
  <c r="CW23" i="3" s="1"/>
  <c r="CV24" i="3"/>
  <c r="CW24" i="3" s="1"/>
  <c r="CV25" i="3"/>
  <c r="CW25" i="3" s="1"/>
  <c r="CV26" i="3"/>
  <c r="CW26" i="3" s="1"/>
  <c r="CV27" i="3"/>
  <c r="CW27" i="3" s="1"/>
  <c r="CV28" i="3"/>
  <c r="CV29" i="3"/>
  <c r="CW29" i="3" s="1"/>
  <c r="CV30" i="3"/>
  <c r="CW30" i="3" s="1"/>
  <c r="CV6" i="3"/>
  <c r="CW6" i="3" s="1"/>
  <c r="DU28" i="3"/>
  <c r="DJ13" i="3"/>
  <c r="DK13" i="3" s="1"/>
  <c r="DJ14" i="3"/>
  <c r="DK14" i="3" s="1"/>
  <c r="DJ15" i="3"/>
  <c r="DK15" i="3" s="1"/>
  <c r="DJ16" i="3"/>
  <c r="DK16" i="3" s="1"/>
  <c r="DJ17" i="3"/>
  <c r="DK17" i="3" s="1"/>
  <c r="DJ18" i="3"/>
  <c r="DJ19" i="3"/>
  <c r="DK19" i="3" s="1"/>
  <c r="DJ20" i="3"/>
  <c r="DK20" i="3" s="1"/>
  <c r="DJ21" i="3"/>
  <c r="DK21" i="3" s="1"/>
  <c r="DJ22" i="3"/>
  <c r="DK22" i="3" s="1"/>
  <c r="DJ23" i="3"/>
  <c r="DK23" i="3" s="1"/>
  <c r="DJ24" i="3"/>
  <c r="DK24" i="3" s="1"/>
  <c r="DL7" i="3"/>
  <c r="DM7" i="3" s="1"/>
  <c r="DL8" i="3"/>
  <c r="DM8" i="3" s="1"/>
  <c r="DL9" i="3"/>
  <c r="DM9" i="3" s="1"/>
  <c r="DL10" i="3"/>
  <c r="DM10" i="3" s="1"/>
  <c r="DL11" i="3"/>
  <c r="DM11" i="3" s="1"/>
  <c r="DL12" i="3"/>
  <c r="DM12" i="3" s="1"/>
  <c r="DL13" i="3"/>
  <c r="DM13" i="3" s="1"/>
  <c r="DL14" i="3"/>
  <c r="DL15" i="3"/>
  <c r="DM15" i="3" s="1"/>
  <c r="DL16" i="3"/>
  <c r="DM16" i="3" s="1"/>
  <c r="DL17" i="3"/>
  <c r="DM17" i="3" s="1"/>
  <c r="DL18" i="3"/>
  <c r="DM18" i="3" s="1"/>
  <c r="DL19" i="3"/>
  <c r="DM19" i="3" s="1"/>
  <c r="DL20" i="3"/>
  <c r="DM20" i="3" s="1"/>
  <c r="DL21" i="3"/>
  <c r="DM21" i="3" s="1"/>
  <c r="DL22" i="3"/>
  <c r="DM22" i="3" s="1"/>
  <c r="DL23" i="3"/>
  <c r="DM23" i="3" s="1"/>
  <c r="DL24" i="3"/>
  <c r="DL25" i="3"/>
  <c r="DM25" i="3" s="1"/>
  <c r="DL26" i="3"/>
  <c r="DM26" i="3" s="1"/>
  <c r="DL27" i="3"/>
  <c r="DM27" i="3" s="1"/>
  <c r="DL28" i="3"/>
  <c r="DM28" i="3" s="1"/>
  <c r="DL29" i="3"/>
  <c r="DM29" i="3" s="1"/>
  <c r="DL30" i="3"/>
  <c r="DM30" i="3" s="1"/>
  <c r="DL6" i="3"/>
  <c r="DM6" i="3" s="1"/>
  <c r="DU9" i="3"/>
  <c r="DT2" i="3"/>
  <c r="DX7" i="3" s="1"/>
  <c r="DU29" i="3"/>
  <c r="DU30" i="3"/>
  <c r="DW29" i="3"/>
  <c r="DW30" i="3"/>
  <c r="DW28" i="3"/>
  <c r="DU7" i="3"/>
  <c r="DW7" i="3"/>
  <c r="DU8" i="3"/>
  <c r="DW8" i="3"/>
  <c r="DW9" i="3"/>
  <c r="BX9" i="3"/>
  <c r="BY9" i="3" s="1"/>
  <c r="BZ9" i="3"/>
  <c r="CA9" i="3" s="1"/>
  <c r="BL9" i="3"/>
  <c r="BM9" i="3" s="1"/>
  <c r="BN9" i="3"/>
  <c r="BO9" i="3" s="1"/>
  <c r="BP9" i="3"/>
  <c r="BQ9" i="3" s="1"/>
  <c r="BA9" i="3"/>
  <c r="BB9" i="3"/>
  <c r="BC9" i="3" s="1"/>
  <c r="BD9" i="3"/>
  <c r="BE9" i="3" s="1"/>
  <c r="AO9" i="3"/>
  <c r="AQ9" i="3"/>
  <c r="AR9" i="3"/>
  <c r="AS9" i="3" s="1"/>
  <c r="AB8" i="3"/>
  <c r="AC8" i="3" s="1"/>
  <c r="AE8" i="3"/>
  <c r="AG8" i="3"/>
  <c r="AB9" i="3"/>
  <c r="AC9" i="3" s="1"/>
  <c r="AE9" i="3"/>
  <c r="AG9" i="3"/>
  <c r="P7" i="3"/>
  <c r="Q7" i="3" s="1"/>
  <c r="R7" i="3"/>
  <c r="S7" i="3" s="1"/>
  <c r="T7" i="3"/>
  <c r="U7" i="3" s="1"/>
  <c r="P8" i="3"/>
  <c r="Q8" i="3" s="1"/>
  <c r="T8" i="3"/>
  <c r="U8" i="3" s="1"/>
  <c r="P9" i="3"/>
  <c r="Q9" i="3" s="1"/>
  <c r="T9" i="3"/>
  <c r="U9" i="3" s="1"/>
  <c r="D9" i="3"/>
  <c r="E9" i="3" s="1"/>
  <c r="H9" i="3"/>
  <c r="I9" i="3" s="1"/>
  <c r="DR9" i="3"/>
  <c r="DS9" i="3" s="1"/>
  <c r="DF9" i="3"/>
  <c r="DG9" i="3" s="1"/>
  <c r="CT9" i="3"/>
  <c r="CU9" i="3" s="1"/>
  <c r="CH9" i="3"/>
  <c r="CI9" i="3" s="1"/>
  <c r="BV9" i="3"/>
  <c r="BW9" i="3" s="1"/>
  <c r="BJ9" i="3"/>
  <c r="BK9" i="3" s="1"/>
  <c r="AX7" i="3"/>
  <c r="AY7" i="3" s="1"/>
  <c r="AX8" i="3"/>
  <c r="AY8" i="3" s="1"/>
  <c r="AX9" i="3"/>
  <c r="AY9" i="3" s="1"/>
  <c r="AL7" i="3"/>
  <c r="AM7" i="3" s="1"/>
  <c r="AL8" i="3"/>
  <c r="AM8" i="3" s="1"/>
  <c r="AL9" i="3"/>
  <c r="AM9" i="3" s="1"/>
  <c r="AL10" i="3"/>
  <c r="AM10" i="3" s="1"/>
  <c r="AL11" i="3"/>
  <c r="AM11" i="3" s="1"/>
  <c r="AL12" i="3"/>
  <c r="AM12" i="3" s="1"/>
  <c r="AL13" i="3"/>
  <c r="AM13" i="3" s="1"/>
  <c r="AL14" i="3"/>
  <c r="AM14" i="3" s="1"/>
  <c r="AL15" i="3"/>
  <c r="AM15" i="3" s="1"/>
  <c r="AL16" i="3"/>
  <c r="AL17" i="3"/>
  <c r="AM17" i="3" s="1"/>
  <c r="AL18" i="3"/>
  <c r="AM18" i="3" s="1"/>
  <c r="AL19" i="3"/>
  <c r="AM19" i="3" s="1"/>
  <c r="AL20" i="3"/>
  <c r="AM20" i="3" s="1"/>
  <c r="AL21" i="3"/>
  <c r="AM21" i="3" s="1"/>
  <c r="AL22" i="3"/>
  <c r="AM22" i="3" s="1"/>
  <c r="AL23" i="3"/>
  <c r="AM23" i="3" s="1"/>
  <c r="AL24" i="3"/>
  <c r="AM24" i="3" s="1"/>
  <c r="AL25" i="3"/>
  <c r="AM25" i="3" s="1"/>
  <c r="AL26" i="3"/>
  <c r="AM26" i="3" s="1"/>
  <c r="AL27" i="3"/>
  <c r="AM27" i="3" s="1"/>
  <c r="AL28" i="3"/>
  <c r="AM28" i="3" s="1"/>
  <c r="AL29" i="3"/>
  <c r="AM29" i="3" s="1"/>
  <c r="AL30" i="3"/>
  <c r="AM30" i="3" s="1"/>
  <c r="Z7" i="3"/>
  <c r="AA7" i="3" s="1"/>
  <c r="Z8" i="3"/>
  <c r="AA8" i="3" s="1"/>
  <c r="Z9" i="3"/>
  <c r="AA9" i="3" s="1"/>
  <c r="Z10" i="3"/>
  <c r="AA10" i="3" s="1"/>
  <c r="Z11" i="3"/>
  <c r="AA11" i="3" s="1"/>
  <c r="Z12" i="3"/>
  <c r="AA12" i="3" s="1"/>
  <c r="Z13" i="3"/>
  <c r="AA13" i="3" s="1"/>
  <c r="Z14" i="3"/>
  <c r="AA14" i="3" s="1"/>
  <c r="Z15" i="3"/>
  <c r="AA15" i="3" s="1"/>
  <c r="Z16" i="3"/>
  <c r="Z17" i="3"/>
  <c r="AA17" i="3" s="1"/>
  <c r="Z18" i="3"/>
  <c r="AA18" i="3" s="1"/>
  <c r="Z19" i="3"/>
  <c r="AA19" i="3" s="1"/>
  <c r="Z20" i="3"/>
  <c r="AA20" i="3" s="1"/>
  <c r="Z21" i="3"/>
  <c r="AA21" i="3" s="1"/>
  <c r="Z22" i="3"/>
  <c r="AA22" i="3" s="1"/>
  <c r="Z23" i="3"/>
  <c r="AA23" i="3" s="1"/>
  <c r="Z24" i="3"/>
  <c r="AA24" i="3" s="1"/>
  <c r="Z25" i="3"/>
  <c r="AA25" i="3" s="1"/>
  <c r="Z26" i="3"/>
  <c r="AA26" i="3" s="1"/>
  <c r="Z27" i="3"/>
  <c r="AA27" i="3" s="1"/>
  <c r="Z28" i="3"/>
  <c r="AA28" i="3" s="1"/>
  <c r="Z29" i="3"/>
  <c r="AA29" i="3" s="1"/>
  <c r="Z30" i="3"/>
  <c r="AA30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N16" i="3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N30" i="3"/>
  <c r="B7" i="3"/>
  <c r="C7" i="3" s="1"/>
  <c r="B8" i="3"/>
  <c r="C8" i="3" s="1"/>
  <c r="B9" i="3"/>
  <c r="C9" i="3" s="1"/>
  <c r="B10" i="3"/>
  <c r="C10" i="3" s="1"/>
  <c r="B11" i="3"/>
  <c r="C11" i="3" s="1"/>
  <c r="B12" i="3"/>
  <c r="C12" i="3" s="1"/>
  <c r="B13" i="3"/>
  <c r="C13" i="3" s="1"/>
  <c r="B14" i="3"/>
  <c r="C14" i="3" s="1"/>
  <c r="B15" i="3"/>
  <c r="C15" i="3" s="1"/>
  <c r="B16" i="3"/>
  <c r="B17" i="3"/>
  <c r="B18" i="3"/>
  <c r="C18" i="3" s="1"/>
  <c r="B19" i="3"/>
  <c r="C19" i="3" s="1"/>
  <c r="B20" i="3"/>
  <c r="C20" i="3" s="1"/>
  <c r="B21" i="3"/>
  <c r="C21" i="3" s="1"/>
  <c r="B22" i="3"/>
  <c r="C22" i="3" s="1"/>
  <c r="B23" i="3"/>
  <c r="C23" i="3" s="1"/>
  <c r="B24" i="3"/>
  <c r="C24" i="3" s="1"/>
  <c r="B25" i="3"/>
  <c r="C25" i="3" s="1"/>
  <c r="B26" i="3"/>
  <c r="C26" i="3" s="1"/>
  <c r="B27" i="3"/>
  <c r="C27" i="3" s="1"/>
  <c r="B28" i="3"/>
  <c r="C28" i="3" s="1"/>
  <c r="B29" i="3"/>
  <c r="C29" i="3" s="1"/>
  <c r="B30" i="3"/>
  <c r="C30" i="3" s="1"/>
  <c r="W7" i="2"/>
  <c r="W8" i="2"/>
  <c r="W9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CM2" i="3"/>
  <c r="CJ2" i="3"/>
  <c r="CA2" i="3"/>
  <c r="BX2" i="3"/>
  <c r="BO2" i="3"/>
  <c r="G2" i="6" s="1"/>
  <c r="BL2" i="3"/>
  <c r="BC2" i="3"/>
  <c r="BD3" i="3" s="1"/>
  <c r="AZ2" i="3"/>
  <c r="AZ3" i="3" s="1"/>
  <c r="AQ2" i="3"/>
  <c r="H2" i="4" s="1"/>
  <c r="Y2" i="4" s="1"/>
  <c r="AX33" i="4" s="1"/>
  <c r="AN2" i="3"/>
  <c r="AE2" i="3"/>
  <c r="G2" i="4" s="1"/>
  <c r="X2" i="4" s="1"/>
  <c r="AW33" i="4" s="1"/>
  <c r="AB2" i="3"/>
  <c r="AB3" i="3" s="1"/>
  <c r="S2" i="3"/>
  <c r="P2" i="3"/>
  <c r="P3" i="3" s="1"/>
  <c r="G2" i="3"/>
  <c r="E2" i="4" s="1"/>
  <c r="V2" i="4" s="1"/>
  <c r="AU33" i="4" s="1"/>
  <c r="BX7" i="3"/>
  <c r="BY7" i="3" s="1"/>
  <c r="BZ7" i="3"/>
  <c r="CA7" i="3" s="1"/>
  <c r="BL7" i="3"/>
  <c r="BM7" i="3" s="1"/>
  <c r="BN7" i="3"/>
  <c r="BO7" i="3" s="1"/>
  <c r="BP7" i="3"/>
  <c r="BQ7" i="3" s="1"/>
  <c r="BA7" i="3"/>
  <c r="BB7" i="3"/>
  <c r="BC7" i="3" s="1"/>
  <c r="BD7" i="3"/>
  <c r="BE7" i="3" s="1"/>
  <c r="AO7" i="3"/>
  <c r="AQ7" i="3"/>
  <c r="AS7" i="3"/>
  <c r="AB7" i="3"/>
  <c r="AC7" i="3" s="1"/>
  <c r="AE7" i="3"/>
  <c r="AG7" i="3"/>
  <c r="D7" i="3"/>
  <c r="E7" i="3" s="1"/>
  <c r="F7" i="3"/>
  <c r="G7" i="3" s="1"/>
  <c r="H7" i="3"/>
  <c r="I7" i="3" s="1"/>
  <c r="BX8" i="3"/>
  <c r="BY8" i="3" s="1"/>
  <c r="BZ8" i="3"/>
  <c r="CA8" i="3" s="1"/>
  <c r="BL8" i="3"/>
  <c r="BM8" i="3" s="1"/>
  <c r="BN8" i="3"/>
  <c r="BO8" i="3" s="1"/>
  <c r="BP8" i="3"/>
  <c r="BQ8" i="3" s="1"/>
  <c r="BA8" i="3"/>
  <c r="BB8" i="3"/>
  <c r="BC8" i="3" s="1"/>
  <c r="BD8" i="3"/>
  <c r="BE8" i="3" s="1"/>
  <c r="AO8" i="3"/>
  <c r="AQ8" i="3"/>
  <c r="AR8" i="3"/>
  <c r="AS8" i="3" s="1"/>
  <c r="D8" i="3"/>
  <c r="E8" i="3" s="1"/>
  <c r="F8" i="3"/>
  <c r="G8" i="3" s="1"/>
  <c r="H8" i="3"/>
  <c r="I8" i="3" s="1"/>
  <c r="DU10" i="3"/>
  <c r="DW10" i="3"/>
  <c r="BX10" i="3"/>
  <c r="BY10" i="3" s="1"/>
  <c r="BZ10" i="3"/>
  <c r="CA10" i="3" s="1"/>
  <c r="BL10" i="3"/>
  <c r="BM10" i="3" s="1"/>
  <c r="BN10" i="3"/>
  <c r="BO10" i="3" s="1"/>
  <c r="BP10" i="3"/>
  <c r="BQ10" i="3" s="1"/>
  <c r="BA10" i="3"/>
  <c r="BB10" i="3"/>
  <c r="BC10" i="3" s="1"/>
  <c r="BD10" i="3"/>
  <c r="BE10" i="3" s="1"/>
  <c r="AO10" i="3"/>
  <c r="AQ10" i="3"/>
  <c r="AR10" i="3"/>
  <c r="AS10" i="3" s="1"/>
  <c r="AB10" i="3"/>
  <c r="AC10" i="3" s="1"/>
  <c r="AE10" i="3"/>
  <c r="AG10" i="3"/>
  <c r="P10" i="3"/>
  <c r="Q10" i="3" s="1"/>
  <c r="T10" i="3"/>
  <c r="U10" i="3" s="1"/>
  <c r="D10" i="3"/>
  <c r="E10" i="3" s="1"/>
  <c r="H10" i="3"/>
  <c r="I10" i="3" s="1"/>
  <c r="DU11" i="3"/>
  <c r="DW11" i="3"/>
  <c r="BX11" i="3"/>
  <c r="BY11" i="3" s="1"/>
  <c r="BZ11" i="3"/>
  <c r="CA11" i="3" s="1"/>
  <c r="BL11" i="3"/>
  <c r="BM11" i="3" s="1"/>
  <c r="BN11" i="3"/>
  <c r="BO11" i="3" s="1"/>
  <c r="BP11" i="3"/>
  <c r="BQ11" i="3" s="1"/>
  <c r="BA11" i="3"/>
  <c r="BB11" i="3"/>
  <c r="BC11" i="3" s="1"/>
  <c r="BD11" i="3"/>
  <c r="BE11" i="3" s="1"/>
  <c r="AO11" i="3"/>
  <c r="AQ11" i="3"/>
  <c r="AR11" i="3"/>
  <c r="AS11" i="3" s="1"/>
  <c r="AB11" i="3"/>
  <c r="AC11" i="3" s="1"/>
  <c r="AE11" i="3"/>
  <c r="AG11" i="3"/>
  <c r="P11" i="3"/>
  <c r="Q11" i="3" s="1"/>
  <c r="T11" i="3"/>
  <c r="U11" i="3" s="1"/>
  <c r="D11" i="3"/>
  <c r="E11" i="3" s="1"/>
  <c r="H11" i="3"/>
  <c r="I11" i="3" s="1"/>
  <c r="DU12" i="3"/>
  <c r="DW12" i="3"/>
  <c r="DZ12" i="3"/>
  <c r="BX12" i="3"/>
  <c r="BY12" i="3" s="1"/>
  <c r="BZ12" i="3"/>
  <c r="CA12" i="3" s="1"/>
  <c r="BL12" i="3"/>
  <c r="BM12" i="3" s="1"/>
  <c r="BN12" i="3"/>
  <c r="BO12" i="3" s="1"/>
  <c r="BP12" i="3"/>
  <c r="BQ12" i="3" s="1"/>
  <c r="BA12" i="3"/>
  <c r="BB12" i="3"/>
  <c r="BC12" i="3" s="1"/>
  <c r="BD12" i="3"/>
  <c r="BE12" i="3" s="1"/>
  <c r="AO12" i="3"/>
  <c r="AQ12" i="3"/>
  <c r="AR12" i="3"/>
  <c r="AS12" i="3" s="1"/>
  <c r="AB12" i="3"/>
  <c r="AC12" i="3" s="1"/>
  <c r="AE12" i="3"/>
  <c r="AG12" i="3"/>
  <c r="P12" i="3"/>
  <c r="Q12" i="3" s="1"/>
  <c r="T12" i="3"/>
  <c r="U12" i="3" s="1"/>
  <c r="D12" i="3"/>
  <c r="E12" i="3" s="1"/>
  <c r="H12" i="3"/>
  <c r="I12" i="3" s="1"/>
  <c r="DU13" i="3"/>
  <c r="DW13" i="3"/>
  <c r="DZ13" i="3"/>
  <c r="BX13" i="3"/>
  <c r="BY13" i="3" s="1"/>
  <c r="BZ13" i="3"/>
  <c r="CA13" i="3" s="1"/>
  <c r="BL13" i="3"/>
  <c r="BM13" i="3" s="1"/>
  <c r="BN13" i="3"/>
  <c r="BO13" i="3" s="1"/>
  <c r="BP13" i="3"/>
  <c r="BQ13" i="3" s="1"/>
  <c r="BA13" i="3"/>
  <c r="BB13" i="3"/>
  <c r="BC13" i="3" s="1"/>
  <c r="BD13" i="3"/>
  <c r="BE13" i="3" s="1"/>
  <c r="AO13" i="3"/>
  <c r="AQ13" i="3"/>
  <c r="AR13" i="3"/>
  <c r="AS13" i="3" s="1"/>
  <c r="AB13" i="3"/>
  <c r="AC13" i="3" s="1"/>
  <c r="AE13" i="3"/>
  <c r="AG13" i="3"/>
  <c r="P13" i="3"/>
  <c r="Q13" i="3" s="1"/>
  <c r="T13" i="3"/>
  <c r="U13" i="3" s="1"/>
  <c r="D13" i="3"/>
  <c r="E13" i="3" s="1"/>
  <c r="H13" i="3"/>
  <c r="I13" i="3" s="1"/>
  <c r="DU14" i="3"/>
  <c r="DW14" i="3"/>
  <c r="DZ14" i="3"/>
  <c r="BX14" i="3"/>
  <c r="BY14" i="3" s="1"/>
  <c r="BZ14" i="3"/>
  <c r="CA14" i="3" s="1"/>
  <c r="BL14" i="3"/>
  <c r="BM14" i="3" s="1"/>
  <c r="BN14" i="3"/>
  <c r="BO14" i="3" s="1"/>
  <c r="BP14" i="3"/>
  <c r="BQ14" i="3" s="1"/>
  <c r="BA14" i="3"/>
  <c r="BB14" i="3"/>
  <c r="BC14" i="3" s="1"/>
  <c r="BD14" i="3"/>
  <c r="BE14" i="3" s="1"/>
  <c r="AO14" i="3"/>
  <c r="AQ14" i="3"/>
  <c r="AR14" i="3"/>
  <c r="AS14" i="3" s="1"/>
  <c r="AB14" i="3"/>
  <c r="AC14" i="3" s="1"/>
  <c r="AE14" i="3"/>
  <c r="AG14" i="3"/>
  <c r="P14" i="3"/>
  <c r="Q14" i="3" s="1"/>
  <c r="R14" i="3"/>
  <c r="S14" i="3" s="1"/>
  <c r="T14" i="3"/>
  <c r="U14" i="3" s="1"/>
  <c r="D14" i="3"/>
  <c r="E14" i="3" s="1"/>
  <c r="H14" i="3"/>
  <c r="I14" i="3" s="1"/>
  <c r="DU15" i="3"/>
  <c r="DW15" i="3"/>
  <c r="DZ15" i="3"/>
  <c r="BX15" i="3"/>
  <c r="BY15" i="3" s="1"/>
  <c r="BZ15" i="3"/>
  <c r="CA15" i="3" s="1"/>
  <c r="BL15" i="3"/>
  <c r="BM15" i="3" s="1"/>
  <c r="BN15" i="3"/>
  <c r="BO15" i="3" s="1"/>
  <c r="BP15" i="3"/>
  <c r="BQ15" i="3" s="1"/>
  <c r="BA15" i="3"/>
  <c r="BB15" i="3"/>
  <c r="BC15" i="3" s="1"/>
  <c r="BD15" i="3"/>
  <c r="BE15" i="3" s="1"/>
  <c r="AO15" i="3"/>
  <c r="AQ15" i="3"/>
  <c r="AR15" i="3"/>
  <c r="AS15" i="3" s="1"/>
  <c r="AB15" i="3"/>
  <c r="AC15" i="3" s="1"/>
  <c r="AE15" i="3"/>
  <c r="AG15" i="3"/>
  <c r="P15" i="3"/>
  <c r="Q15" i="3" s="1"/>
  <c r="R15" i="3"/>
  <c r="S15" i="3" s="1"/>
  <c r="T15" i="3"/>
  <c r="U15" i="3" s="1"/>
  <c r="D15" i="3"/>
  <c r="E15" i="3" s="1"/>
  <c r="H15" i="3"/>
  <c r="I15" i="3" s="1"/>
  <c r="DU16" i="3"/>
  <c r="DW16" i="3"/>
  <c r="DZ16" i="3"/>
  <c r="BX16" i="3"/>
  <c r="BY16" i="3" s="1"/>
  <c r="BZ16" i="3"/>
  <c r="CA16" i="3" s="1"/>
  <c r="BL16" i="3"/>
  <c r="BM16" i="3" s="1"/>
  <c r="BN16" i="3"/>
  <c r="BO16" i="3" s="1"/>
  <c r="BP16" i="3"/>
  <c r="BQ16" i="3" s="1"/>
  <c r="BA16" i="3"/>
  <c r="BB16" i="3"/>
  <c r="BC16" i="3" s="1"/>
  <c r="BD16" i="3"/>
  <c r="BE16" i="3" s="1"/>
  <c r="AO16" i="3"/>
  <c r="AQ16" i="3"/>
  <c r="AR16" i="3"/>
  <c r="AS16" i="3" s="1"/>
  <c r="AB16" i="3"/>
  <c r="AC16" i="3" s="1"/>
  <c r="AE16" i="3"/>
  <c r="AG16" i="3"/>
  <c r="P16" i="3"/>
  <c r="Q16" i="3" s="1"/>
  <c r="R16" i="3"/>
  <c r="S16" i="3" s="1"/>
  <c r="T16" i="3"/>
  <c r="U16" i="3" s="1"/>
  <c r="D16" i="3"/>
  <c r="E16" i="3" s="1"/>
  <c r="H16" i="3"/>
  <c r="I16" i="3" s="1"/>
  <c r="DU17" i="3"/>
  <c r="DW17" i="3"/>
  <c r="DZ17" i="3"/>
  <c r="BX17" i="3"/>
  <c r="BY17" i="3" s="1"/>
  <c r="BZ17" i="3"/>
  <c r="CA17" i="3" s="1"/>
  <c r="CC17" i="3"/>
  <c r="BL17" i="3"/>
  <c r="BM17" i="3" s="1"/>
  <c r="BN17" i="3"/>
  <c r="BO17" i="3" s="1"/>
  <c r="BP17" i="3"/>
  <c r="BQ17" i="3" s="1"/>
  <c r="BA17" i="3"/>
  <c r="BB17" i="3"/>
  <c r="BC17" i="3" s="1"/>
  <c r="BD17" i="3"/>
  <c r="BE17" i="3" s="1"/>
  <c r="AO17" i="3"/>
  <c r="AQ17" i="3"/>
  <c r="AR17" i="3"/>
  <c r="AS17" i="3" s="1"/>
  <c r="AB17" i="3"/>
  <c r="AC17" i="3" s="1"/>
  <c r="AE17" i="3"/>
  <c r="AG17" i="3"/>
  <c r="P17" i="3"/>
  <c r="Q17" i="3" s="1"/>
  <c r="R17" i="3"/>
  <c r="S17" i="3" s="1"/>
  <c r="T17" i="3"/>
  <c r="U17" i="3" s="1"/>
  <c r="D17" i="3"/>
  <c r="E17" i="3" s="1"/>
  <c r="H17" i="3"/>
  <c r="I17" i="3" s="1"/>
  <c r="DU18" i="3"/>
  <c r="DW18" i="3"/>
  <c r="DZ18" i="3"/>
  <c r="CO18" i="3"/>
  <c r="BX18" i="3"/>
  <c r="BY18" i="3" s="1"/>
  <c r="BZ18" i="3"/>
  <c r="CA18" i="3" s="1"/>
  <c r="BL18" i="3"/>
  <c r="BM18" i="3" s="1"/>
  <c r="BN18" i="3"/>
  <c r="BO18" i="3" s="1"/>
  <c r="BP18" i="3"/>
  <c r="BQ18" i="3" s="1"/>
  <c r="BA18" i="3"/>
  <c r="BB18" i="3"/>
  <c r="BC18" i="3" s="1"/>
  <c r="BD18" i="3"/>
  <c r="BE18" i="3" s="1"/>
  <c r="AO18" i="3"/>
  <c r="AQ18" i="3"/>
  <c r="AR18" i="3"/>
  <c r="AS18" i="3" s="1"/>
  <c r="AB18" i="3"/>
  <c r="AC18" i="3" s="1"/>
  <c r="AE18" i="3"/>
  <c r="AG18" i="3"/>
  <c r="P18" i="3"/>
  <c r="Q18" i="3" s="1"/>
  <c r="R18" i="3"/>
  <c r="S18" i="3" s="1"/>
  <c r="T18" i="3"/>
  <c r="U18" i="3" s="1"/>
  <c r="D18" i="3"/>
  <c r="E18" i="3" s="1"/>
  <c r="H18" i="3"/>
  <c r="I18" i="3" s="1"/>
  <c r="DU19" i="3"/>
  <c r="DW19" i="3"/>
  <c r="DZ19" i="3"/>
  <c r="BX19" i="3"/>
  <c r="BY19" i="3" s="1"/>
  <c r="BZ19" i="3"/>
  <c r="CA19" i="3" s="1"/>
  <c r="BL19" i="3"/>
  <c r="BM19" i="3" s="1"/>
  <c r="BN19" i="3"/>
  <c r="BO19" i="3" s="1"/>
  <c r="BP19" i="3"/>
  <c r="BQ19" i="3" s="1"/>
  <c r="BA19" i="3"/>
  <c r="BB19" i="3"/>
  <c r="BC19" i="3" s="1"/>
  <c r="BD19" i="3"/>
  <c r="BE19" i="3" s="1"/>
  <c r="AO19" i="3"/>
  <c r="AQ19" i="3"/>
  <c r="AR19" i="3"/>
  <c r="AS19" i="3" s="1"/>
  <c r="AB19" i="3"/>
  <c r="AC19" i="3" s="1"/>
  <c r="AE19" i="3"/>
  <c r="AG19" i="3"/>
  <c r="P19" i="3"/>
  <c r="Q19" i="3" s="1"/>
  <c r="R19" i="3"/>
  <c r="S19" i="3" s="1"/>
  <c r="T19" i="3"/>
  <c r="U19" i="3" s="1"/>
  <c r="D19" i="3"/>
  <c r="E19" i="3" s="1"/>
  <c r="H19" i="3"/>
  <c r="I19" i="3" s="1"/>
  <c r="DU20" i="3"/>
  <c r="DW20" i="3"/>
  <c r="DZ20" i="3"/>
  <c r="BX20" i="3"/>
  <c r="BY20" i="3" s="1"/>
  <c r="BZ20" i="3"/>
  <c r="CA20" i="3" s="1"/>
  <c r="BL20" i="3"/>
  <c r="BM20" i="3" s="1"/>
  <c r="BN20" i="3"/>
  <c r="BO20" i="3" s="1"/>
  <c r="BP20" i="3"/>
  <c r="BQ20" i="3" s="1"/>
  <c r="BA20" i="3"/>
  <c r="BB20" i="3"/>
  <c r="BC20" i="3" s="1"/>
  <c r="BD20" i="3"/>
  <c r="BE20" i="3" s="1"/>
  <c r="AO20" i="3"/>
  <c r="AQ20" i="3"/>
  <c r="AR20" i="3"/>
  <c r="AS20" i="3" s="1"/>
  <c r="AB20" i="3"/>
  <c r="AC20" i="3" s="1"/>
  <c r="AE20" i="3"/>
  <c r="AG20" i="3"/>
  <c r="P20" i="3"/>
  <c r="Q20" i="3" s="1"/>
  <c r="R20" i="3"/>
  <c r="S20" i="3" s="1"/>
  <c r="T20" i="3"/>
  <c r="U20" i="3" s="1"/>
  <c r="D20" i="3"/>
  <c r="E20" i="3" s="1"/>
  <c r="H20" i="3"/>
  <c r="I20" i="3" s="1"/>
  <c r="DU21" i="3"/>
  <c r="DW21" i="3"/>
  <c r="DZ21" i="3"/>
  <c r="BX21" i="3"/>
  <c r="BY21" i="3" s="1"/>
  <c r="BZ21" i="3"/>
  <c r="CA21" i="3" s="1"/>
  <c r="BL21" i="3"/>
  <c r="BM21" i="3" s="1"/>
  <c r="BN21" i="3"/>
  <c r="BO21" i="3" s="1"/>
  <c r="BP21" i="3"/>
  <c r="BQ21" i="3" s="1"/>
  <c r="BA21" i="3"/>
  <c r="BB21" i="3"/>
  <c r="BC21" i="3" s="1"/>
  <c r="BD21" i="3"/>
  <c r="BE21" i="3" s="1"/>
  <c r="AO21" i="3"/>
  <c r="AQ21" i="3"/>
  <c r="AR21" i="3"/>
  <c r="AS21" i="3" s="1"/>
  <c r="AB21" i="3"/>
  <c r="AC21" i="3" s="1"/>
  <c r="AE21" i="3"/>
  <c r="AG21" i="3"/>
  <c r="P21" i="3"/>
  <c r="Q21" i="3" s="1"/>
  <c r="R21" i="3"/>
  <c r="S21" i="3" s="1"/>
  <c r="T21" i="3"/>
  <c r="U21" i="3" s="1"/>
  <c r="D21" i="3"/>
  <c r="E21" i="3" s="1"/>
  <c r="H21" i="3"/>
  <c r="I21" i="3" s="1"/>
  <c r="DU22" i="3"/>
  <c r="DW22" i="3"/>
  <c r="DZ22" i="3"/>
  <c r="BX22" i="3"/>
  <c r="BY22" i="3" s="1"/>
  <c r="BZ22" i="3"/>
  <c r="CA22" i="3" s="1"/>
  <c r="BL22" i="3"/>
  <c r="BM22" i="3" s="1"/>
  <c r="BN22" i="3"/>
  <c r="BO22" i="3" s="1"/>
  <c r="BP22" i="3"/>
  <c r="BQ22" i="3" s="1"/>
  <c r="BA22" i="3"/>
  <c r="BB22" i="3"/>
  <c r="BC22" i="3" s="1"/>
  <c r="BD22" i="3"/>
  <c r="BE22" i="3" s="1"/>
  <c r="AO22" i="3"/>
  <c r="AQ22" i="3"/>
  <c r="AR22" i="3"/>
  <c r="AS22" i="3" s="1"/>
  <c r="AB22" i="3"/>
  <c r="AC22" i="3" s="1"/>
  <c r="AE22" i="3"/>
  <c r="AG22" i="3"/>
  <c r="P22" i="3"/>
  <c r="Q22" i="3" s="1"/>
  <c r="R22" i="3"/>
  <c r="S22" i="3" s="1"/>
  <c r="T22" i="3"/>
  <c r="U22" i="3" s="1"/>
  <c r="D22" i="3"/>
  <c r="E22" i="3" s="1"/>
  <c r="H22" i="3"/>
  <c r="I22" i="3" s="1"/>
  <c r="DU23" i="3"/>
  <c r="DW23" i="3"/>
  <c r="DZ23" i="3"/>
  <c r="BX23" i="3"/>
  <c r="BY23" i="3" s="1"/>
  <c r="BZ23" i="3"/>
  <c r="CA23" i="3" s="1"/>
  <c r="BL23" i="3"/>
  <c r="BM23" i="3" s="1"/>
  <c r="BN23" i="3"/>
  <c r="BO23" i="3" s="1"/>
  <c r="BP23" i="3"/>
  <c r="BQ23" i="3" s="1"/>
  <c r="BA23" i="3"/>
  <c r="BB23" i="3"/>
  <c r="BC23" i="3" s="1"/>
  <c r="BD23" i="3"/>
  <c r="BE23" i="3" s="1"/>
  <c r="AO23" i="3"/>
  <c r="AQ23" i="3"/>
  <c r="AR23" i="3"/>
  <c r="AS23" i="3" s="1"/>
  <c r="AB23" i="3"/>
  <c r="AC23" i="3" s="1"/>
  <c r="AE23" i="3"/>
  <c r="AG23" i="3"/>
  <c r="P23" i="3"/>
  <c r="Q23" i="3" s="1"/>
  <c r="R23" i="3"/>
  <c r="S23" i="3" s="1"/>
  <c r="T23" i="3"/>
  <c r="U23" i="3" s="1"/>
  <c r="D23" i="3"/>
  <c r="E23" i="3" s="1"/>
  <c r="H23" i="3"/>
  <c r="I23" i="3" s="1"/>
  <c r="DU24" i="3"/>
  <c r="DW24" i="3"/>
  <c r="DZ24" i="3"/>
  <c r="BX24" i="3"/>
  <c r="BY24" i="3" s="1"/>
  <c r="BZ24" i="3"/>
  <c r="CA24" i="3" s="1"/>
  <c r="BL24" i="3"/>
  <c r="BM24" i="3" s="1"/>
  <c r="BN24" i="3"/>
  <c r="BO24" i="3" s="1"/>
  <c r="BP24" i="3"/>
  <c r="BQ24" i="3" s="1"/>
  <c r="BA24" i="3"/>
  <c r="BB24" i="3"/>
  <c r="BC24" i="3" s="1"/>
  <c r="BD24" i="3"/>
  <c r="BE24" i="3" s="1"/>
  <c r="AO24" i="3"/>
  <c r="AQ24" i="3"/>
  <c r="AR24" i="3"/>
  <c r="AS24" i="3" s="1"/>
  <c r="AB24" i="3"/>
  <c r="AC24" i="3" s="1"/>
  <c r="AE24" i="3"/>
  <c r="AG24" i="3"/>
  <c r="P24" i="3"/>
  <c r="Q24" i="3" s="1"/>
  <c r="T24" i="3"/>
  <c r="U24" i="3" s="1"/>
  <c r="D24" i="3"/>
  <c r="E24" i="3" s="1"/>
  <c r="H24" i="3"/>
  <c r="I24" i="3" s="1"/>
  <c r="DU25" i="3"/>
  <c r="DW25" i="3"/>
  <c r="BX25" i="3"/>
  <c r="BY25" i="3" s="1"/>
  <c r="BZ25" i="3"/>
  <c r="CA25" i="3" s="1"/>
  <c r="BL25" i="3"/>
  <c r="BM25" i="3" s="1"/>
  <c r="BN25" i="3"/>
  <c r="BO25" i="3" s="1"/>
  <c r="BP25" i="3"/>
  <c r="BQ25" i="3" s="1"/>
  <c r="BA25" i="3"/>
  <c r="BB25" i="3"/>
  <c r="BC25" i="3" s="1"/>
  <c r="BD25" i="3"/>
  <c r="BE25" i="3" s="1"/>
  <c r="AO25" i="3"/>
  <c r="AQ25" i="3"/>
  <c r="AR25" i="3"/>
  <c r="AS25" i="3" s="1"/>
  <c r="AB25" i="3"/>
  <c r="AC25" i="3" s="1"/>
  <c r="AE25" i="3"/>
  <c r="AG25" i="3"/>
  <c r="P25" i="3"/>
  <c r="Q25" i="3" s="1"/>
  <c r="T25" i="3"/>
  <c r="U25" i="3" s="1"/>
  <c r="D25" i="3"/>
  <c r="E25" i="3" s="1"/>
  <c r="H25" i="3"/>
  <c r="I25" i="3" s="1"/>
  <c r="DU26" i="3"/>
  <c r="DW26" i="3"/>
  <c r="CM26" i="3"/>
  <c r="BX26" i="3"/>
  <c r="BY26" i="3" s="1"/>
  <c r="BZ26" i="3"/>
  <c r="CA26" i="3" s="1"/>
  <c r="BL26" i="3"/>
  <c r="BM26" i="3" s="1"/>
  <c r="BN26" i="3"/>
  <c r="BO26" i="3" s="1"/>
  <c r="BP26" i="3"/>
  <c r="BQ26" i="3" s="1"/>
  <c r="BA26" i="3"/>
  <c r="BB26" i="3"/>
  <c r="BC26" i="3" s="1"/>
  <c r="BD26" i="3"/>
  <c r="BE26" i="3" s="1"/>
  <c r="AO26" i="3"/>
  <c r="AQ26" i="3"/>
  <c r="AR26" i="3"/>
  <c r="AS26" i="3" s="1"/>
  <c r="AB26" i="3"/>
  <c r="AC26" i="3" s="1"/>
  <c r="AE26" i="3"/>
  <c r="AG26" i="3"/>
  <c r="P26" i="3"/>
  <c r="Q26" i="3" s="1"/>
  <c r="T26" i="3"/>
  <c r="U26" i="3" s="1"/>
  <c r="D26" i="3"/>
  <c r="E26" i="3" s="1"/>
  <c r="H26" i="3"/>
  <c r="I26" i="3" s="1"/>
  <c r="DU27" i="3"/>
  <c r="DW27" i="3"/>
  <c r="CO27" i="3"/>
  <c r="BX27" i="3"/>
  <c r="BY27" i="3" s="1"/>
  <c r="BZ27" i="3"/>
  <c r="CA27" i="3" s="1"/>
  <c r="BL27" i="3"/>
  <c r="BM27" i="3" s="1"/>
  <c r="BN27" i="3"/>
  <c r="BO27" i="3" s="1"/>
  <c r="BP27" i="3"/>
  <c r="BQ27" i="3" s="1"/>
  <c r="BA27" i="3"/>
  <c r="BB27" i="3"/>
  <c r="BC27" i="3" s="1"/>
  <c r="BD27" i="3"/>
  <c r="BE27" i="3" s="1"/>
  <c r="AO27" i="3"/>
  <c r="AQ27" i="3"/>
  <c r="AR27" i="3"/>
  <c r="AS27" i="3" s="1"/>
  <c r="AB27" i="3"/>
  <c r="AC27" i="3" s="1"/>
  <c r="AE27" i="3"/>
  <c r="AG27" i="3"/>
  <c r="P27" i="3"/>
  <c r="Q27" i="3" s="1"/>
  <c r="T27" i="3"/>
  <c r="U27" i="3" s="1"/>
  <c r="D27" i="3"/>
  <c r="E27" i="3" s="1"/>
  <c r="H27" i="3"/>
  <c r="I27" i="3" s="1"/>
  <c r="BX28" i="3"/>
  <c r="BY28" i="3" s="1"/>
  <c r="BZ28" i="3"/>
  <c r="CA28" i="3" s="1"/>
  <c r="BL28" i="3"/>
  <c r="BM28" i="3" s="1"/>
  <c r="BN28" i="3"/>
  <c r="BO28" i="3" s="1"/>
  <c r="BP28" i="3"/>
  <c r="BQ28" i="3" s="1"/>
  <c r="BA28" i="3"/>
  <c r="BB28" i="3"/>
  <c r="BC28" i="3" s="1"/>
  <c r="BD28" i="3"/>
  <c r="BE28" i="3" s="1"/>
  <c r="AO28" i="3"/>
  <c r="AQ28" i="3"/>
  <c r="AR28" i="3"/>
  <c r="AS28" i="3" s="1"/>
  <c r="AB28" i="3"/>
  <c r="AC28" i="3" s="1"/>
  <c r="AE28" i="3"/>
  <c r="AG28" i="3"/>
  <c r="P28" i="3"/>
  <c r="Q28" i="3" s="1"/>
  <c r="T28" i="3"/>
  <c r="U28" i="3" s="1"/>
  <c r="D28" i="3"/>
  <c r="E28" i="3" s="1"/>
  <c r="H28" i="3"/>
  <c r="I28" i="3" s="1"/>
  <c r="BX29" i="3"/>
  <c r="BY29" i="3" s="1"/>
  <c r="BZ29" i="3"/>
  <c r="CA29" i="3" s="1"/>
  <c r="BL29" i="3"/>
  <c r="BM29" i="3" s="1"/>
  <c r="BN29" i="3"/>
  <c r="BO29" i="3" s="1"/>
  <c r="BP29" i="3"/>
  <c r="BQ29" i="3" s="1"/>
  <c r="BA29" i="3"/>
  <c r="BB29" i="3"/>
  <c r="BC29" i="3" s="1"/>
  <c r="BD29" i="3"/>
  <c r="BE29" i="3" s="1"/>
  <c r="AO29" i="3"/>
  <c r="AQ29" i="3"/>
  <c r="AR29" i="3"/>
  <c r="AS29" i="3" s="1"/>
  <c r="AB29" i="3"/>
  <c r="AC29" i="3" s="1"/>
  <c r="AE29" i="3"/>
  <c r="AG29" i="3"/>
  <c r="P29" i="3"/>
  <c r="Q29" i="3" s="1"/>
  <c r="T29" i="3"/>
  <c r="U29" i="3" s="1"/>
  <c r="D29" i="3"/>
  <c r="E29" i="3" s="1"/>
  <c r="H29" i="3"/>
  <c r="I29" i="3" s="1"/>
  <c r="BX30" i="3"/>
  <c r="BY30" i="3" s="1"/>
  <c r="BZ30" i="3"/>
  <c r="CA30" i="3" s="1"/>
  <c r="BL30" i="3"/>
  <c r="BM30" i="3" s="1"/>
  <c r="BN30" i="3"/>
  <c r="BO30" i="3" s="1"/>
  <c r="BP30" i="3"/>
  <c r="BQ30" i="3" s="1"/>
  <c r="BA30" i="3"/>
  <c r="BB30" i="3"/>
  <c r="BC30" i="3" s="1"/>
  <c r="BD30" i="3"/>
  <c r="BE30" i="3" s="1"/>
  <c r="AO30" i="3"/>
  <c r="AQ30" i="3"/>
  <c r="AR30" i="3"/>
  <c r="AS30" i="3" s="1"/>
  <c r="AB30" i="3"/>
  <c r="AC30" i="3" s="1"/>
  <c r="AE30" i="3"/>
  <c r="AG30" i="3"/>
  <c r="P30" i="3"/>
  <c r="Q30" i="3" s="1"/>
  <c r="R30" i="3"/>
  <c r="S30" i="3" s="1"/>
  <c r="T30" i="3"/>
  <c r="U30" i="3" s="1"/>
  <c r="D30" i="3"/>
  <c r="E30" i="3" s="1"/>
  <c r="F30" i="3"/>
  <c r="G30" i="3" s="1"/>
  <c r="H30" i="3"/>
  <c r="I30" i="3" s="1"/>
  <c r="DU6" i="3"/>
  <c r="DW6" i="3"/>
  <c r="CJ6" i="3"/>
  <c r="CK6" i="3" s="1"/>
  <c r="CL6" i="3"/>
  <c r="CM6" i="3" s="1"/>
  <c r="BX6" i="3"/>
  <c r="BY6" i="3" s="1"/>
  <c r="BZ6" i="3"/>
  <c r="CA6" i="3" s="1"/>
  <c r="CB6" i="3"/>
  <c r="CC6" i="3" s="1"/>
  <c r="BL6" i="3"/>
  <c r="BM6" i="3" s="1"/>
  <c r="BN6" i="3"/>
  <c r="BO6" i="3" s="1"/>
  <c r="BP6" i="3"/>
  <c r="BQ6" i="3" s="1"/>
  <c r="AZ6" i="3"/>
  <c r="BA6" i="3" s="1"/>
  <c r="BB6" i="3"/>
  <c r="BC6" i="3" s="1"/>
  <c r="BD6" i="3"/>
  <c r="BE6" i="3" s="1"/>
  <c r="AN6" i="3"/>
  <c r="AO6" i="3" s="1"/>
  <c r="AP6" i="3"/>
  <c r="AQ6" i="3" s="1"/>
  <c r="AR6" i="3"/>
  <c r="AS6" i="3" s="1"/>
  <c r="AB6" i="3"/>
  <c r="AC6" i="3" s="1"/>
  <c r="AD6" i="3"/>
  <c r="AE6" i="3" s="1"/>
  <c r="AF6" i="3"/>
  <c r="AG6" i="3" s="1"/>
  <c r="P6" i="3"/>
  <c r="Q6" i="3" s="1"/>
  <c r="R6" i="3"/>
  <c r="S6" i="3" s="1"/>
  <c r="T6" i="3"/>
  <c r="U6" i="3" s="1"/>
  <c r="D6" i="3"/>
  <c r="E6" i="3" s="1"/>
  <c r="F6" i="3"/>
  <c r="G6" i="3" s="1"/>
  <c r="H6" i="3"/>
  <c r="I6" i="3" s="1"/>
  <c r="DM24" i="3"/>
  <c r="CW28" i="3"/>
  <c r="DK2" i="3"/>
  <c r="DH3" i="3"/>
  <c r="CV2" i="3"/>
  <c r="DF30" i="3"/>
  <c r="DG30" i="3" s="1"/>
  <c r="DF29" i="3"/>
  <c r="DG29" i="3" s="1"/>
  <c r="DF28" i="3"/>
  <c r="DG28" i="3" s="1"/>
  <c r="DF27" i="3"/>
  <c r="DG27" i="3" s="1"/>
  <c r="DF26" i="3"/>
  <c r="DG26" i="3" s="1"/>
  <c r="DF25" i="3"/>
  <c r="DG25" i="3" s="1"/>
  <c r="DF24" i="3"/>
  <c r="DG24" i="3" s="1"/>
  <c r="DF23" i="3"/>
  <c r="DG23" i="3" s="1"/>
  <c r="DF22" i="3"/>
  <c r="DG22" i="3" s="1"/>
  <c r="DF21" i="3"/>
  <c r="DG21" i="3" s="1"/>
  <c r="DF20" i="3"/>
  <c r="DG20" i="3" s="1"/>
  <c r="DF19" i="3"/>
  <c r="DG19" i="3" s="1"/>
  <c r="DK18" i="3"/>
  <c r="DF18" i="3"/>
  <c r="DG18" i="3" s="1"/>
  <c r="DF17" i="3"/>
  <c r="DG17" i="3" s="1"/>
  <c r="DF16" i="3"/>
  <c r="DG16" i="3" s="1"/>
  <c r="DF15" i="3"/>
  <c r="DG15" i="3" s="1"/>
  <c r="DM14" i="3"/>
  <c r="DF14" i="3"/>
  <c r="DG14" i="3" s="1"/>
  <c r="DF13" i="3"/>
  <c r="DG13" i="3" s="1"/>
  <c r="DF12" i="3"/>
  <c r="DG12" i="3" s="1"/>
  <c r="DF11" i="3"/>
  <c r="DG11" i="3" s="1"/>
  <c r="DF10" i="3"/>
  <c r="DG10" i="3" s="1"/>
  <c r="DF8" i="3"/>
  <c r="DG8" i="3" s="1"/>
  <c r="DF7" i="3"/>
  <c r="DG7" i="3" s="1"/>
  <c r="DF6" i="3"/>
  <c r="DG6" i="3" s="1"/>
  <c r="CT30" i="3"/>
  <c r="CU30" i="3" s="1"/>
  <c r="CT29" i="3"/>
  <c r="CU29" i="3" s="1"/>
  <c r="CT28" i="3"/>
  <c r="CU28" i="3" s="1"/>
  <c r="CT27" i="3"/>
  <c r="CU27" i="3" s="1"/>
  <c r="CT26" i="3"/>
  <c r="CU26" i="3" s="1"/>
  <c r="CT25" i="3"/>
  <c r="CU25" i="3" s="1"/>
  <c r="CT24" i="3"/>
  <c r="CU24" i="3" s="1"/>
  <c r="CT23" i="3"/>
  <c r="CU23" i="3" s="1"/>
  <c r="CY22" i="3"/>
  <c r="CT22" i="3"/>
  <c r="CU22" i="3" s="1"/>
  <c r="CT21" i="3"/>
  <c r="CU21" i="3" s="1"/>
  <c r="CT20" i="3"/>
  <c r="CU20" i="3" s="1"/>
  <c r="CT19" i="3"/>
  <c r="CU19" i="3" s="1"/>
  <c r="CT18" i="3"/>
  <c r="CU18" i="3" s="1"/>
  <c r="CT17" i="3"/>
  <c r="CU17" i="3" s="1"/>
  <c r="CT16" i="3"/>
  <c r="CU16" i="3" s="1"/>
  <c r="CT15" i="3"/>
  <c r="CU15" i="3" s="1"/>
  <c r="CT14" i="3"/>
  <c r="CU14" i="3" s="1"/>
  <c r="CT13" i="3"/>
  <c r="CU13" i="3" s="1"/>
  <c r="CT12" i="3"/>
  <c r="CU12" i="3" s="1"/>
  <c r="CT11" i="3"/>
  <c r="CU11" i="3" s="1"/>
  <c r="CT10" i="3"/>
  <c r="CU10" i="3" s="1"/>
  <c r="CT8" i="3"/>
  <c r="CU8" i="3" s="1"/>
  <c r="CT7" i="3"/>
  <c r="CU7" i="3" s="1"/>
  <c r="CT6" i="3"/>
  <c r="CU6" i="3" s="1"/>
  <c r="W5" i="2"/>
  <c r="AK5" i="4"/>
  <c r="AK4" i="4"/>
  <c r="CH30" i="3"/>
  <c r="CI30" i="3" s="1"/>
  <c r="CH29" i="3"/>
  <c r="CI29" i="3" s="1"/>
  <c r="CH28" i="3"/>
  <c r="CI28" i="3" s="1"/>
  <c r="CH27" i="3"/>
  <c r="CI27" i="3" s="1"/>
  <c r="CH26" i="3"/>
  <c r="CI26" i="3" s="1"/>
  <c r="CH25" i="3"/>
  <c r="CI25" i="3" s="1"/>
  <c r="CH24" i="3"/>
  <c r="CI24" i="3" s="1"/>
  <c r="CH23" i="3"/>
  <c r="CI23" i="3" s="1"/>
  <c r="CH22" i="3"/>
  <c r="CI22" i="3" s="1"/>
  <c r="CH21" i="3"/>
  <c r="CI21" i="3" s="1"/>
  <c r="CH20" i="3"/>
  <c r="CI20" i="3" s="1"/>
  <c r="CH19" i="3"/>
  <c r="CI19" i="3" s="1"/>
  <c r="CH18" i="3"/>
  <c r="CI18" i="3" s="1"/>
  <c r="CH17" i="3"/>
  <c r="CI17" i="3" s="1"/>
  <c r="CH16" i="3"/>
  <c r="CI16" i="3" s="1"/>
  <c r="CH15" i="3"/>
  <c r="CI15" i="3" s="1"/>
  <c r="CH14" i="3"/>
  <c r="CI14" i="3" s="1"/>
  <c r="CH13" i="3"/>
  <c r="CI13" i="3" s="1"/>
  <c r="CH12" i="3"/>
  <c r="CI12" i="3" s="1"/>
  <c r="CH11" i="3"/>
  <c r="CI11" i="3" s="1"/>
  <c r="CH10" i="3"/>
  <c r="CI10" i="3" s="1"/>
  <c r="CH8" i="3"/>
  <c r="CI8" i="3" s="1"/>
  <c r="CH7" i="3"/>
  <c r="CI7" i="3" s="1"/>
  <c r="CH6" i="3"/>
  <c r="CI6" i="3" s="1"/>
  <c r="BV30" i="3"/>
  <c r="BW30" i="3" s="1"/>
  <c r="BV29" i="3"/>
  <c r="BW29" i="3" s="1"/>
  <c r="BV28" i="3"/>
  <c r="BW28" i="3" s="1"/>
  <c r="BV27" i="3"/>
  <c r="BW27" i="3" s="1"/>
  <c r="BV26" i="3"/>
  <c r="BW26" i="3" s="1"/>
  <c r="BV25" i="3"/>
  <c r="BW25" i="3" s="1"/>
  <c r="BV24" i="3"/>
  <c r="BW24" i="3" s="1"/>
  <c r="BV23" i="3"/>
  <c r="BW23" i="3" s="1"/>
  <c r="BV22" i="3"/>
  <c r="BW22" i="3" s="1"/>
  <c r="BV21" i="3"/>
  <c r="BW21" i="3" s="1"/>
  <c r="BV20" i="3"/>
  <c r="BW20" i="3" s="1"/>
  <c r="BV19" i="3"/>
  <c r="BW19" i="3" s="1"/>
  <c r="BV18" i="3"/>
  <c r="BW18" i="3" s="1"/>
  <c r="BV17" i="3"/>
  <c r="BW17" i="3" s="1"/>
  <c r="BV16" i="3"/>
  <c r="BW16" i="3" s="1"/>
  <c r="BV15" i="3"/>
  <c r="BW15" i="3" s="1"/>
  <c r="BV14" i="3"/>
  <c r="BW14" i="3" s="1"/>
  <c r="BV13" i="3"/>
  <c r="BW13" i="3" s="1"/>
  <c r="BV12" i="3"/>
  <c r="BW12" i="3" s="1"/>
  <c r="BV11" i="3"/>
  <c r="BW11" i="3" s="1"/>
  <c r="BV10" i="3"/>
  <c r="BW10" i="3" s="1"/>
  <c r="BV8" i="3"/>
  <c r="BW8" i="3" s="1"/>
  <c r="BV7" i="3"/>
  <c r="BW7" i="3" s="1"/>
  <c r="BV6" i="3"/>
  <c r="BW6" i="3" s="1"/>
  <c r="DR30" i="3"/>
  <c r="DS30" i="3" s="1"/>
  <c r="DR29" i="3"/>
  <c r="DS29" i="3" s="1"/>
  <c r="DR28" i="3"/>
  <c r="DS28" i="3" s="1"/>
  <c r="DR27" i="3"/>
  <c r="DS27" i="3" s="1"/>
  <c r="DR26" i="3"/>
  <c r="DS26" i="3" s="1"/>
  <c r="DR25" i="3"/>
  <c r="DS25" i="3" s="1"/>
  <c r="DR24" i="3"/>
  <c r="DS24" i="3" s="1"/>
  <c r="DR23" i="3"/>
  <c r="DS23" i="3" s="1"/>
  <c r="DR22" i="3"/>
  <c r="DS22" i="3" s="1"/>
  <c r="DR21" i="3"/>
  <c r="DS21" i="3" s="1"/>
  <c r="DR20" i="3"/>
  <c r="DS20" i="3" s="1"/>
  <c r="DR19" i="3"/>
  <c r="DS19" i="3" s="1"/>
  <c r="DR18" i="3"/>
  <c r="DS18" i="3" s="1"/>
  <c r="DR17" i="3"/>
  <c r="DS17" i="3" s="1"/>
  <c r="DR16" i="3"/>
  <c r="DS16" i="3" s="1"/>
  <c r="DR15" i="3"/>
  <c r="DS15" i="3" s="1"/>
  <c r="DR14" i="3"/>
  <c r="DS14" i="3" s="1"/>
  <c r="DR13" i="3"/>
  <c r="DS13" i="3" s="1"/>
  <c r="DR12" i="3"/>
  <c r="DS12" i="3" s="1"/>
  <c r="DR11" i="3"/>
  <c r="DS11" i="3" s="1"/>
  <c r="DR10" i="3"/>
  <c r="DS10" i="3" s="1"/>
  <c r="DR8" i="3"/>
  <c r="DS8" i="3" s="1"/>
  <c r="DR7" i="3"/>
  <c r="DS7" i="3" s="1"/>
  <c r="DR6" i="3"/>
  <c r="DS6" i="3" s="1"/>
  <c r="DX13" i="3"/>
  <c r="B28" i="4"/>
  <c r="R28" i="4" s="1"/>
  <c r="A59" i="4" s="1"/>
  <c r="B4" i="4"/>
  <c r="R4" i="4" s="1"/>
  <c r="A35" i="4" s="1"/>
  <c r="BJ30" i="3"/>
  <c r="BK30" i="3" s="1"/>
  <c r="BJ29" i="3"/>
  <c r="BK29" i="3" s="1"/>
  <c r="BJ28" i="3"/>
  <c r="BK28" i="3" s="1"/>
  <c r="BJ27" i="3"/>
  <c r="BK27" i="3" s="1"/>
  <c r="BJ26" i="3"/>
  <c r="BK26" i="3" s="1"/>
  <c r="BJ25" i="3"/>
  <c r="BK25" i="3" s="1"/>
  <c r="BJ24" i="3"/>
  <c r="BK24" i="3" s="1"/>
  <c r="BJ23" i="3"/>
  <c r="BK23" i="3" s="1"/>
  <c r="BJ22" i="3"/>
  <c r="BK22" i="3" s="1"/>
  <c r="BJ21" i="3"/>
  <c r="BK21" i="3" s="1"/>
  <c r="BJ20" i="3"/>
  <c r="BK20" i="3" s="1"/>
  <c r="BJ19" i="3"/>
  <c r="BK19" i="3" s="1"/>
  <c r="BJ18" i="3"/>
  <c r="BK18" i="3" s="1"/>
  <c r="BJ17" i="3"/>
  <c r="BK17" i="3" s="1"/>
  <c r="BJ16" i="3"/>
  <c r="BK16" i="3" s="1"/>
  <c r="BJ15" i="3"/>
  <c r="BK15" i="3" s="1"/>
  <c r="BJ14" i="3"/>
  <c r="BK14" i="3" s="1"/>
  <c r="BJ13" i="3"/>
  <c r="BK13" i="3" s="1"/>
  <c r="BJ12" i="3"/>
  <c r="BK12" i="3" s="1"/>
  <c r="BJ11" i="3"/>
  <c r="BK11" i="3" s="1"/>
  <c r="BJ10" i="3"/>
  <c r="BK10" i="3" s="1"/>
  <c r="BJ8" i="3"/>
  <c r="BK8" i="3" s="1"/>
  <c r="BJ7" i="3"/>
  <c r="BK7" i="3" s="1"/>
  <c r="BJ6" i="3"/>
  <c r="BK6" i="3" s="1"/>
  <c r="AX30" i="3"/>
  <c r="AY30" i="3" s="1"/>
  <c r="AX29" i="3"/>
  <c r="AY29" i="3" s="1"/>
  <c r="AX28" i="3"/>
  <c r="AY28" i="3" s="1"/>
  <c r="AX27" i="3"/>
  <c r="AY27" i="3" s="1"/>
  <c r="AX26" i="3"/>
  <c r="AY26" i="3" s="1"/>
  <c r="AX25" i="3"/>
  <c r="AY25" i="3" s="1"/>
  <c r="AX24" i="3"/>
  <c r="AY24" i="3" s="1"/>
  <c r="AX23" i="3"/>
  <c r="AY23" i="3" s="1"/>
  <c r="AX22" i="3"/>
  <c r="AY22" i="3" s="1"/>
  <c r="AX21" i="3"/>
  <c r="AY21" i="3" s="1"/>
  <c r="AX20" i="3"/>
  <c r="AY20" i="3" s="1"/>
  <c r="AX19" i="3"/>
  <c r="AY19" i="3" s="1"/>
  <c r="AX18" i="3"/>
  <c r="AY18" i="3" s="1"/>
  <c r="AX17" i="3"/>
  <c r="AY17" i="3" s="1"/>
  <c r="AX16" i="3"/>
  <c r="AY16" i="3" s="1"/>
  <c r="AX15" i="3"/>
  <c r="AY15" i="3" s="1"/>
  <c r="AX14" i="3"/>
  <c r="AY14" i="3" s="1"/>
  <c r="AX13" i="3"/>
  <c r="AY13" i="3" s="1"/>
  <c r="AX12" i="3"/>
  <c r="AY12" i="3" s="1"/>
  <c r="AX11" i="3"/>
  <c r="AY11" i="3" s="1"/>
  <c r="AX10" i="3"/>
  <c r="AY10" i="3" s="1"/>
  <c r="AX6" i="3"/>
  <c r="AY6" i="3" s="1"/>
  <c r="AM16" i="3"/>
  <c r="AL6" i="3"/>
  <c r="AM6" i="3" s="1"/>
  <c r="AA16" i="3"/>
  <c r="Z6" i="3"/>
  <c r="AA6" i="3" s="1"/>
  <c r="O30" i="3"/>
  <c r="O29" i="3"/>
  <c r="O16" i="3"/>
  <c r="O15" i="3"/>
  <c r="N6" i="3"/>
  <c r="O6" i="3" s="1"/>
  <c r="B6" i="3"/>
  <c r="C6" i="3" s="1"/>
  <c r="C16" i="3"/>
  <c r="C17" i="3"/>
  <c r="D3" i="3"/>
  <c r="DX14" i="3" l="1"/>
  <c r="DX22" i="3"/>
  <c r="DX18" i="3"/>
  <c r="BL3" i="3"/>
  <c r="D2" i="6"/>
  <c r="D3" i="6" s="1"/>
  <c r="I3" i="6"/>
  <c r="BX3" i="3"/>
  <c r="D11" i="6"/>
  <c r="D12" i="6" s="1"/>
  <c r="K2" i="4"/>
  <c r="AB2" i="4" s="1"/>
  <c r="BA33" i="4" s="1"/>
  <c r="G11" i="6"/>
  <c r="CJ3" i="3"/>
  <c r="D20" i="6"/>
  <c r="D21" i="6" s="1"/>
  <c r="CZ3" i="3"/>
  <c r="AC2" i="4"/>
  <c r="G20" i="6"/>
  <c r="H3" i="3"/>
  <c r="DX23" i="3"/>
  <c r="DX27" i="3"/>
  <c r="DX15" i="3"/>
  <c r="DX17" i="3"/>
  <c r="DX28" i="3"/>
  <c r="DX19" i="3"/>
  <c r="DX30" i="3"/>
  <c r="DX25" i="3"/>
  <c r="DX12" i="3"/>
  <c r="DX29" i="3"/>
  <c r="DX21" i="3"/>
  <c r="DX16" i="3"/>
  <c r="DT3" i="3"/>
  <c r="DX6" i="3"/>
  <c r="DX20" i="3"/>
  <c r="DX10" i="3"/>
  <c r="DX11" i="3"/>
  <c r="DX24" i="3"/>
  <c r="DX26" i="3"/>
  <c r="F59" i="6"/>
  <c r="AM2" i="4" s="1"/>
  <c r="AT33" i="4"/>
  <c r="EB7" i="3"/>
  <c r="EC7" i="3" s="1"/>
  <c r="CL3" i="3"/>
  <c r="CN3" i="3"/>
  <c r="I30" i="6"/>
  <c r="AR3" i="3"/>
  <c r="L51" i="6"/>
  <c r="AP3" i="3"/>
  <c r="BB3" i="3"/>
  <c r="BB33" i="4"/>
  <c r="AR20" i="4"/>
  <c r="U27" i="4"/>
  <c r="AT57" i="4" s="1"/>
  <c r="AR24" i="4"/>
  <c r="AR18" i="4"/>
  <c r="BA17" i="4"/>
  <c r="BC33" i="4"/>
  <c r="AR12" i="4"/>
  <c r="U5" i="4"/>
  <c r="AT35" i="4" s="1"/>
  <c r="U6" i="4"/>
  <c r="AT36" i="4" s="1"/>
  <c r="AR22" i="4"/>
  <c r="AR16" i="4"/>
  <c r="BA13" i="4"/>
  <c r="DL3" i="3"/>
  <c r="G38" i="6"/>
  <c r="EB28" i="3"/>
  <c r="EC28" i="3" s="1"/>
  <c r="CV3" i="3"/>
  <c r="D29" i="6"/>
  <c r="EB16" i="3"/>
  <c r="EC16" i="3" s="1"/>
  <c r="EB14" i="3"/>
  <c r="EC14" i="3" s="1"/>
  <c r="EB29" i="3"/>
  <c r="EC29" i="3" s="1"/>
  <c r="DB25" i="3"/>
  <c r="EB22" i="3"/>
  <c r="EC22" i="3" s="1"/>
  <c r="EB20" i="3"/>
  <c r="EC20" i="3" s="1"/>
  <c r="L43" i="6"/>
  <c r="L35" i="6"/>
  <c r="EB8" i="3"/>
  <c r="EC8" i="3" s="1"/>
  <c r="EB24" i="3"/>
  <c r="EC24" i="3" s="1"/>
  <c r="DB27" i="3"/>
  <c r="DB7" i="3"/>
  <c r="CD16" i="3"/>
  <c r="BA23" i="4"/>
  <c r="F3" i="3"/>
  <c r="BA2" i="4"/>
  <c r="AA35" i="4" s="1"/>
  <c r="BZ3" i="3"/>
  <c r="CB3" i="3"/>
  <c r="BA22" i="4"/>
  <c r="BA26" i="4"/>
  <c r="AA59" i="4" s="1"/>
  <c r="BA21" i="4"/>
  <c r="BA15" i="4"/>
  <c r="BA25" i="4"/>
  <c r="AF3" i="3"/>
  <c r="AD3" i="3"/>
  <c r="CP10" i="3"/>
  <c r="BA19" i="4"/>
  <c r="R3" i="3"/>
  <c r="T3" i="3"/>
  <c r="BF14" i="3"/>
  <c r="CP9" i="3"/>
  <c r="BF16" i="3"/>
  <c r="AT2" i="3"/>
  <c r="CD27" i="3"/>
  <c r="CD10" i="3"/>
  <c r="CD25" i="3"/>
  <c r="CP21" i="3"/>
  <c r="CP7" i="3"/>
  <c r="CD9" i="3"/>
  <c r="CX3" i="3"/>
  <c r="DN21" i="3"/>
  <c r="CP29" i="3"/>
  <c r="CP17" i="3"/>
  <c r="V12" i="3"/>
  <c r="BN3" i="3"/>
  <c r="AT7" i="3"/>
  <c r="AH8" i="3"/>
  <c r="CP30" i="3"/>
  <c r="BR7" i="3"/>
  <c r="DB10" i="3"/>
  <c r="DB12" i="3"/>
  <c r="V30" i="3"/>
  <c r="DB26" i="3"/>
  <c r="DB28" i="3"/>
  <c r="J2" i="3"/>
  <c r="CP28" i="3"/>
  <c r="DN28" i="3"/>
  <c r="BR30" i="3"/>
  <c r="BR28" i="3"/>
  <c r="BR8" i="3"/>
  <c r="CP25" i="3"/>
  <c r="DB21" i="3"/>
  <c r="CD8" i="3"/>
  <c r="AT29" i="3"/>
  <c r="BF13" i="3"/>
  <c r="DN8" i="3"/>
  <c r="AT30" i="3"/>
  <c r="J7" i="3"/>
  <c r="BP3" i="3"/>
  <c r="CP27" i="3"/>
  <c r="CP23" i="3"/>
  <c r="CP11" i="3"/>
  <c r="BF28" i="3"/>
  <c r="BR29" i="3"/>
  <c r="BR25" i="3"/>
  <c r="AT8" i="3"/>
  <c r="BF27" i="3"/>
  <c r="DB6" i="3"/>
  <c r="CD6" i="3"/>
  <c r="AH25" i="3"/>
  <c r="BR21" i="3"/>
  <c r="AH7" i="3"/>
  <c r="DB14" i="3"/>
  <c r="DB11" i="3"/>
  <c r="CP8" i="3"/>
  <c r="BA14" i="4"/>
  <c r="BF25" i="3"/>
  <c r="CP6" i="3"/>
  <c r="CP12" i="3"/>
  <c r="BF10" i="3"/>
  <c r="DB30" i="3"/>
  <c r="AT15" i="3"/>
  <c r="CD15" i="3"/>
  <c r="CD7" i="3"/>
  <c r="DB9" i="3"/>
  <c r="AT12" i="3"/>
  <c r="DB22" i="3"/>
  <c r="BF29" i="3"/>
  <c r="BR27" i="3"/>
  <c r="AT21" i="3"/>
  <c r="CD21" i="3"/>
  <c r="AT11" i="3"/>
  <c r="BR15" i="3"/>
  <c r="AH6" i="3"/>
  <c r="CP19" i="3"/>
  <c r="AT13" i="3"/>
  <c r="CD2" i="3"/>
  <c r="AN3" i="3"/>
  <c r="CD11" i="3"/>
  <c r="DB29" i="3"/>
  <c r="J30" i="3"/>
  <c r="AH30" i="3"/>
  <c r="BF30" i="3"/>
  <c r="CD17" i="3"/>
  <c r="CP15" i="3"/>
  <c r="BR10" i="3"/>
  <c r="BF7" i="3"/>
  <c r="DB8" i="3"/>
  <c r="BA12" i="4"/>
  <c r="DB16" i="3"/>
  <c r="BF21" i="3"/>
  <c r="BF8" i="3"/>
  <c r="AH2" i="3"/>
  <c r="CP2" i="3"/>
  <c r="BA16" i="4"/>
  <c r="BA11" i="4"/>
  <c r="AT27" i="3"/>
  <c r="AT25" i="3"/>
  <c r="AT10" i="3"/>
  <c r="AU10" i="3" s="1"/>
  <c r="AT28" i="3"/>
  <c r="AT16" i="3"/>
  <c r="AH12" i="3"/>
  <c r="AH14" i="3"/>
  <c r="AH21" i="3"/>
  <c r="AH13" i="3"/>
  <c r="AI13" i="3" s="1"/>
  <c r="AH9" i="3"/>
  <c r="AH10" i="3"/>
  <c r="AH15" i="3"/>
  <c r="AH27" i="3"/>
  <c r="AH29" i="3"/>
  <c r="AH28" i="3"/>
  <c r="V9" i="3"/>
  <c r="V11" i="3"/>
  <c r="V24" i="3"/>
  <c r="V15" i="3"/>
  <c r="V26" i="3"/>
  <c r="V21" i="3"/>
  <c r="J16" i="3"/>
  <c r="J9" i="3"/>
  <c r="J11" i="3"/>
  <c r="J22" i="3"/>
  <c r="K22" i="3" s="1"/>
  <c r="L22" i="3" s="1"/>
  <c r="E20" i="4" s="1"/>
  <c r="J17" i="3"/>
  <c r="J8" i="3"/>
  <c r="J26" i="3"/>
  <c r="J19" i="3"/>
  <c r="J13" i="3"/>
  <c r="J23" i="3"/>
  <c r="J20" i="3"/>
  <c r="J21" i="3"/>
  <c r="K21" i="3" s="1"/>
  <c r="L21" i="3" s="1"/>
  <c r="E19" i="4" s="1"/>
  <c r="J14" i="3"/>
  <c r="J18" i="3"/>
  <c r="J12" i="3"/>
  <c r="J24" i="3"/>
  <c r="X28" i="4"/>
  <c r="AW58" i="4" s="1"/>
  <c r="Y28" i="4"/>
  <c r="AX58" i="4" s="1"/>
  <c r="AU2" i="4"/>
  <c r="X4" i="4"/>
  <c r="AW34" i="4" s="1"/>
  <c r="Y4" i="4"/>
  <c r="AX34" i="4" s="1"/>
  <c r="U28" i="4"/>
  <c r="AT58" i="4" s="1"/>
  <c r="L53" i="6"/>
  <c r="L52" i="6"/>
  <c r="AL59" i="4"/>
  <c r="AC59" i="4"/>
  <c r="BA18" i="4"/>
  <c r="BC2" i="4"/>
  <c r="BA4" i="4"/>
  <c r="S5" i="4"/>
  <c r="A36" i="4"/>
  <c r="S9" i="4"/>
  <c r="U9" i="4" s="1"/>
  <c r="AT39" i="4" s="1"/>
  <c r="A40" i="4"/>
  <c r="S13" i="4"/>
  <c r="A44" i="4"/>
  <c r="S17" i="4"/>
  <c r="A48" i="4"/>
  <c r="S21" i="4"/>
  <c r="A52" i="4"/>
  <c r="S25" i="4"/>
  <c r="A56" i="4"/>
  <c r="S6" i="4"/>
  <c r="A37" i="4"/>
  <c r="S10" i="4"/>
  <c r="U10" i="4" s="1"/>
  <c r="AT40" i="4" s="1"/>
  <c r="A41" i="4"/>
  <c r="S14" i="4"/>
  <c r="A45" i="4"/>
  <c r="S18" i="4"/>
  <c r="A49" i="4"/>
  <c r="S22" i="4"/>
  <c r="A53" i="4"/>
  <c r="S26" i="4"/>
  <c r="A57" i="4"/>
  <c r="S7" i="4"/>
  <c r="U7" i="4" s="1"/>
  <c r="AT37" i="4" s="1"/>
  <c r="A38" i="4"/>
  <c r="S11" i="4"/>
  <c r="A42" i="4"/>
  <c r="S15" i="4"/>
  <c r="A46" i="4"/>
  <c r="S19" i="4"/>
  <c r="A50" i="4"/>
  <c r="S23" i="4"/>
  <c r="A54" i="4"/>
  <c r="S27" i="4"/>
  <c r="A58" i="4"/>
  <c r="S8" i="4"/>
  <c r="U8" i="4" s="1"/>
  <c r="AT38" i="4" s="1"/>
  <c r="A39" i="4"/>
  <c r="S12" i="4"/>
  <c r="A43" i="4"/>
  <c r="S16" i="4"/>
  <c r="A47" i="4"/>
  <c r="S20" i="4"/>
  <c r="A51" i="4"/>
  <c r="S24" i="4"/>
  <c r="A55" i="4"/>
  <c r="P59" i="4"/>
  <c r="AE59" i="4" s="1"/>
  <c r="AJ59" i="4" s="1"/>
  <c r="A86" i="4"/>
  <c r="P35" i="4"/>
  <c r="AE35" i="4" s="1"/>
  <c r="AJ35" i="4" s="1"/>
  <c r="A62" i="4"/>
  <c r="BA20" i="4"/>
  <c r="AR14" i="4"/>
  <c r="C86" i="4"/>
  <c r="I87" i="4" s="1"/>
  <c r="V19" i="3"/>
  <c r="AH19" i="3"/>
  <c r="AT19" i="3"/>
  <c r="BF19" i="3"/>
  <c r="BR19" i="3"/>
  <c r="AT17" i="3"/>
  <c r="V16" i="3"/>
  <c r="V23" i="3"/>
  <c r="AH23" i="3"/>
  <c r="AT23" i="3"/>
  <c r="BF23" i="3"/>
  <c r="BR23" i="3"/>
  <c r="V17" i="3"/>
  <c r="BR17" i="3"/>
  <c r="AT6" i="3"/>
  <c r="AT26" i="3"/>
  <c r="BR26" i="3"/>
  <c r="AH24" i="3"/>
  <c r="BF24" i="3"/>
  <c r="CD23" i="3"/>
  <c r="V22" i="3"/>
  <c r="AT22" i="3"/>
  <c r="BR22" i="3"/>
  <c r="AH20" i="3"/>
  <c r="BF20" i="3"/>
  <c r="CD19" i="3"/>
  <c r="V18" i="3"/>
  <c r="AT18" i="3"/>
  <c r="BR18" i="3"/>
  <c r="EB18" i="3"/>
  <c r="EC18" i="3" s="1"/>
  <c r="AH16" i="3"/>
  <c r="CP16" i="3"/>
  <c r="BF15" i="3"/>
  <c r="BR12" i="3"/>
  <c r="BR11" i="3"/>
  <c r="DN2" i="3"/>
  <c r="N2" i="4"/>
  <c r="AE2" i="4" s="1"/>
  <c r="BD33" i="4" s="1"/>
  <c r="DJ3" i="3"/>
  <c r="DB20" i="3"/>
  <c r="DB15" i="3"/>
  <c r="J6" i="3"/>
  <c r="BF6" i="3"/>
  <c r="EB27" i="3"/>
  <c r="EC27" i="3" s="1"/>
  <c r="CD26" i="3"/>
  <c r="CP26" i="3"/>
  <c r="CD22" i="3"/>
  <c r="CP22" i="3"/>
  <c r="EB21" i="3"/>
  <c r="EC21" i="3" s="1"/>
  <c r="CD18" i="3"/>
  <c r="CP18" i="3"/>
  <c r="EB17" i="3"/>
  <c r="EC17" i="3" s="1"/>
  <c r="BR16" i="3"/>
  <c r="V6" i="3"/>
  <c r="BR6" i="3"/>
  <c r="AH26" i="3"/>
  <c r="BF26" i="3"/>
  <c r="AT24" i="3"/>
  <c r="BR24" i="3"/>
  <c r="AH22" i="3"/>
  <c r="BF22" i="3"/>
  <c r="V20" i="3"/>
  <c r="AT20" i="3"/>
  <c r="BR20" i="3"/>
  <c r="AH18" i="3"/>
  <c r="BF18" i="3"/>
  <c r="U4" i="4"/>
  <c r="AT34" i="4" s="1"/>
  <c r="EB25" i="3"/>
  <c r="EC25" i="3" s="1"/>
  <c r="CD24" i="3"/>
  <c r="CP24" i="3"/>
  <c r="EB23" i="3"/>
  <c r="EC23" i="3" s="1"/>
  <c r="CD20" i="3"/>
  <c r="CP20" i="3"/>
  <c r="EB19" i="3"/>
  <c r="EC19" i="3" s="1"/>
  <c r="AH17" i="3"/>
  <c r="BF17" i="3"/>
  <c r="AT14" i="3"/>
  <c r="AY6" i="4"/>
  <c r="AY5" i="4"/>
  <c r="AY13" i="4"/>
  <c r="AY7" i="4"/>
  <c r="AY10" i="4"/>
  <c r="AY16" i="4"/>
  <c r="AY19" i="4"/>
  <c r="AY18" i="4"/>
  <c r="AY20" i="4"/>
  <c r="C42" i="6"/>
  <c r="Y7" i="2"/>
  <c r="V8" i="3"/>
  <c r="AT9" i="3"/>
  <c r="BF9" i="3"/>
  <c r="BR9" i="3"/>
  <c r="DB24" i="3"/>
  <c r="DB19" i="3"/>
  <c r="DB13" i="3"/>
  <c r="CD30" i="3"/>
  <c r="J29" i="3"/>
  <c r="V29" i="3"/>
  <c r="CD29" i="3"/>
  <c r="J28" i="3"/>
  <c r="V28" i="3"/>
  <c r="CD28" i="3"/>
  <c r="J27" i="3"/>
  <c r="V27" i="3"/>
  <c r="J25" i="3"/>
  <c r="V25" i="3"/>
  <c r="J15" i="3"/>
  <c r="K15" i="3" s="1"/>
  <c r="L15" i="3" s="1"/>
  <c r="E13" i="4" s="1"/>
  <c r="V14" i="3"/>
  <c r="BR14" i="3"/>
  <c r="CP14" i="3"/>
  <c r="V13" i="3"/>
  <c r="BR13" i="3"/>
  <c r="EB13" i="3"/>
  <c r="EC13" i="3" s="1"/>
  <c r="BF12" i="3"/>
  <c r="AH11" i="3"/>
  <c r="BF11" i="3"/>
  <c r="EB10" i="3"/>
  <c r="EC10" i="3" s="1"/>
  <c r="AS19" i="4"/>
  <c r="AS22" i="4"/>
  <c r="AS18" i="4"/>
  <c r="AS23" i="4"/>
  <c r="J2" i="4"/>
  <c r="AA2" i="4" s="1"/>
  <c r="BR2" i="3"/>
  <c r="V7" i="3"/>
  <c r="DB18" i="3"/>
  <c r="DB23" i="3"/>
  <c r="DB17" i="3"/>
  <c r="EB26" i="3"/>
  <c r="EC26" i="3" s="1"/>
  <c r="EB15" i="3"/>
  <c r="EC15" i="3" s="1"/>
  <c r="CD14" i="3"/>
  <c r="CD13" i="3"/>
  <c r="CP13" i="3"/>
  <c r="EB12" i="3"/>
  <c r="EC12" i="3" s="1"/>
  <c r="AU4" i="4"/>
  <c r="AU6" i="4"/>
  <c r="AU11" i="4"/>
  <c r="AU13" i="4"/>
  <c r="AU15" i="4"/>
  <c r="AU17" i="4"/>
  <c r="AU5" i="4"/>
  <c r="AU8" i="4"/>
  <c r="AU7" i="4"/>
  <c r="AU3" i="4"/>
  <c r="AU9" i="4"/>
  <c r="AU20" i="4"/>
  <c r="AU23" i="4"/>
  <c r="AU25" i="4"/>
  <c r="AU22" i="4"/>
  <c r="AU10" i="4"/>
  <c r="AU12" i="4"/>
  <c r="AU14" i="4"/>
  <c r="AU16" i="4"/>
  <c r="AU19" i="4"/>
  <c r="AU24" i="4"/>
  <c r="AU26" i="4"/>
  <c r="AU18" i="4"/>
  <c r="AU21" i="4"/>
  <c r="DX9" i="3"/>
  <c r="DX8" i="3"/>
  <c r="CD12" i="3"/>
  <c r="F2" i="4"/>
  <c r="V2" i="3"/>
  <c r="I2" i="4"/>
  <c r="Z2" i="4" s="1"/>
  <c r="BF2" i="3"/>
  <c r="EB11" i="3"/>
  <c r="EC11" i="3" s="1"/>
  <c r="EB30" i="3"/>
  <c r="EC30" i="3" s="1"/>
  <c r="AV24" i="4"/>
  <c r="AV16" i="4"/>
  <c r="AV14" i="4"/>
  <c r="AV12" i="4"/>
  <c r="AV10" i="4"/>
  <c r="AV5" i="4"/>
  <c r="AV4" i="4"/>
  <c r="AV22" i="4"/>
  <c r="AR7" i="4"/>
  <c r="AR8" i="4"/>
  <c r="AR10" i="4"/>
  <c r="AR9" i="4"/>
  <c r="AR11" i="4"/>
  <c r="AR13" i="4"/>
  <c r="AR15" i="4"/>
  <c r="AR17" i="4"/>
  <c r="AR19" i="4"/>
  <c r="AR21" i="4"/>
  <c r="AR23" i="4"/>
  <c r="AV25" i="4"/>
  <c r="AV20" i="4"/>
  <c r="J10" i="3"/>
  <c r="V10" i="3"/>
  <c r="AV8" i="4"/>
  <c r="AV7" i="4"/>
  <c r="AV9" i="4"/>
  <c r="AV6" i="4"/>
  <c r="AV11" i="4"/>
  <c r="AV13" i="4"/>
  <c r="AV15" i="4"/>
  <c r="AV17" i="4"/>
  <c r="AV19" i="4"/>
  <c r="AV21" i="4"/>
  <c r="AV23" i="4"/>
  <c r="EB9" i="3"/>
  <c r="EC9" i="3" s="1"/>
  <c r="BA24" i="4"/>
  <c r="AV18" i="4"/>
  <c r="AR6" i="4"/>
  <c r="DN29" i="3"/>
  <c r="BA3" i="4"/>
  <c r="BA5" i="4"/>
  <c r="DN6" i="3"/>
  <c r="DN26" i="3"/>
  <c r="DN24" i="3"/>
  <c r="DN22" i="3"/>
  <c r="BA8" i="4"/>
  <c r="BA6" i="4"/>
  <c r="L34" i="6"/>
  <c r="L42" i="6"/>
  <c r="BA7" i="4"/>
  <c r="DN30" i="3"/>
  <c r="BA10" i="4"/>
  <c r="BA9" i="4"/>
  <c r="L33" i="6"/>
  <c r="L44" i="6"/>
  <c r="DN27" i="3"/>
  <c r="DN25" i="3"/>
  <c r="DN23" i="3"/>
  <c r="DN19" i="3"/>
  <c r="DN15" i="3"/>
  <c r="DN13" i="3"/>
  <c r="DN11" i="3"/>
  <c r="DN9" i="3"/>
  <c r="DN20" i="3"/>
  <c r="DN16" i="3"/>
  <c r="DN12" i="3"/>
  <c r="DB2" i="3"/>
  <c r="DN17" i="3"/>
  <c r="DN18" i="3"/>
  <c r="DN14" i="3"/>
  <c r="DN10" i="3"/>
  <c r="DN7" i="3"/>
  <c r="M51" i="6" l="1"/>
  <c r="N51" i="6" s="1"/>
  <c r="M53" i="6"/>
  <c r="N53" i="6" s="1"/>
  <c r="M52" i="6"/>
  <c r="N52" i="6" s="1"/>
  <c r="F3" i="6"/>
  <c r="L2" i="6"/>
  <c r="M6" i="6" s="1"/>
  <c r="AY24" i="4"/>
  <c r="Y57" i="4" s="1"/>
  <c r="AY14" i="4"/>
  <c r="AY11" i="4"/>
  <c r="AB28" i="4"/>
  <c r="BA58" i="4" s="1"/>
  <c r="AY21" i="4"/>
  <c r="Y54" i="4" s="1"/>
  <c r="AY12" i="4"/>
  <c r="AY8" i="4"/>
  <c r="AY2" i="4"/>
  <c r="Y35" i="4" s="1"/>
  <c r="AY9" i="4"/>
  <c r="AY3" i="4"/>
  <c r="AY4" i="4"/>
  <c r="AY25" i="4"/>
  <c r="Y58" i="4" s="1"/>
  <c r="AY17" i="4"/>
  <c r="AY23" i="4"/>
  <c r="AY22" i="4"/>
  <c r="AY15" i="4"/>
  <c r="Y48" i="4" s="1"/>
  <c r="L11" i="6"/>
  <c r="F12" i="6"/>
  <c r="I12" i="6"/>
  <c r="L20" i="6"/>
  <c r="I21" i="6"/>
  <c r="F21" i="6"/>
  <c r="C16" i="6"/>
  <c r="C7" i="6"/>
  <c r="K7" i="3"/>
  <c r="L7" i="3" s="1"/>
  <c r="E5" i="4" s="1"/>
  <c r="AU26" i="3"/>
  <c r="AU18" i="3"/>
  <c r="K8" i="3"/>
  <c r="L8" i="3" s="1"/>
  <c r="E6" i="4" s="1"/>
  <c r="V6" i="4" s="1"/>
  <c r="AU36" i="4" s="1"/>
  <c r="K28" i="3"/>
  <c r="L28" i="3" s="1"/>
  <c r="E26" i="4" s="1"/>
  <c r="V26" i="4" s="1"/>
  <c r="K6" i="3"/>
  <c r="L6" i="3" s="1"/>
  <c r="E4" i="4" s="1"/>
  <c r="K17" i="3"/>
  <c r="L17" i="3" s="1"/>
  <c r="E15" i="4" s="1"/>
  <c r="V15" i="4" s="1"/>
  <c r="AU25" i="3"/>
  <c r="AU7" i="3"/>
  <c r="K10" i="3"/>
  <c r="L10" i="3" s="1"/>
  <c r="E8" i="4" s="1"/>
  <c r="V8" i="4" s="1"/>
  <c r="K25" i="3"/>
  <c r="L25" i="3" s="1"/>
  <c r="E23" i="4" s="1"/>
  <c r="V23" i="4" s="1"/>
  <c r="K29" i="3"/>
  <c r="L29" i="3" s="1"/>
  <c r="E27" i="4" s="1"/>
  <c r="V27" i="4" s="1"/>
  <c r="AU57" i="4" s="1"/>
  <c r="K9" i="3"/>
  <c r="L9" i="3" s="1"/>
  <c r="E7" i="4" s="1"/>
  <c r="V7" i="4" s="1"/>
  <c r="AU21" i="3"/>
  <c r="K27" i="3"/>
  <c r="L27" i="3" s="1"/>
  <c r="E25" i="4" s="1"/>
  <c r="V25" i="4" s="1"/>
  <c r="K24" i="3"/>
  <c r="L24" i="3" s="1"/>
  <c r="E22" i="4" s="1"/>
  <c r="V22" i="4" s="1"/>
  <c r="AU52" i="4" s="1"/>
  <c r="K26" i="3"/>
  <c r="L26" i="3" s="1"/>
  <c r="E24" i="4" s="1"/>
  <c r="V24" i="4" s="1"/>
  <c r="AU13" i="3"/>
  <c r="C39" i="4"/>
  <c r="AZ12" i="4"/>
  <c r="Z45" i="4" s="1"/>
  <c r="AZ10" i="4"/>
  <c r="Z43" i="4" s="1"/>
  <c r="AA54" i="4"/>
  <c r="AZ17" i="4"/>
  <c r="Z50" i="4" s="1"/>
  <c r="AZ5" i="4"/>
  <c r="Z38" i="4" s="1"/>
  <c r="AZ4" i="4"/>
  <c r="Z37" i="4" s="1"/>
  <c r="AZ6" i="4"/>
  <c r="Z39" i="4" s="1"/>
  <c r="AZ3" i="4"/>
  <c r="Z36" i="4" s="1"/>
  <c r="AZ14" i="4"/>
  <c r="Z47" i="4" s="1"/>
  <c r="AZ20" i="4"/>
  <c r="Z53" i="4" s="1"/>
  <c r="AZ8" i="4"/>
  <c r="Z41" i="4" s="1"/>
  <c r="AZ2" i="4"/>
  <c r="Z35" i="4" s="1"/>
  <c r="AZ26" i="4"/>
  <c r="Z59" i="4" s="1"/>
  <c r="AZ7" i="4"/>
  <c r="Z40" i="4" s="1"/>
  <c r="AZ24" i="4"/>
  <c r="Z57" i="4" s="1"/>
  <c r="AZ23" i="4"/>
  <c r="Z56" i="4" s="1"/>
  <c r="AZ18" i="4"/>
  <c r="Z51" i="4" s="1"/>
  <c r="AZ21" i="4"/>
  <c r="Z54" i="4" s="1"/>
  <c r="AY26" i="4"/>
  <c r="AZ9" i="4"/>
  <c r="Z42" i="4" s="1"/>
  <c r="AZ19" i="4"/>
  <c r="Z52" i="4" s="1"/>
  <c r="AZ25" i="4"/>
  <c r="Z58" i="4" s="1"/>
  <c r="AZ15" i="4"/>
  <c r="Z48" i="4" s="1"/>
  <c r="AZ22" i="4"/>
  <c r="Z55" i="4" s="1"/>
  <c r="AZ13" i="4"/>
  <c r="Z46" i="4" s="1"/>
  <c r="AZ16" i="4"/>
  <c r="Z49" i="4" s="1"/>
  <c r="AZ11" i="4"/>
  <c r="Z44" i="4" s="1"/>
  <c r="AZ33" i="4"/>
  <c r="K30" i="3"/>
  <c r="L30" i="3" s="1"/>
  <c r="E28" i="4" s="1"/>
  <c r="CE28" i="3"/>
  <c r="CE16" i="3"/>
  <c r="AU8" i="3"/>
  <c r="W2" i="4"/>
  <c r="AV33" i="4" s="1"/>
  <c r="K12" i="3"/>
  <c r="L12" i="3" s="1"/>
  <c r="E10" i="4" s="1"/>
  <c r="V10" i="4" s="1"/>
  <c r="K11" i="3"/>
  <c r="L11" i="3" s="1"/>
  <c r="E9" i="4" s="1"/>
  <c r="V9" i="4" s="1"/>
  <c r="AU39" i="4" s="1"/>
  <c r="R51" i="4"/>
  <c r="AA46" i="4"/>
  <c r="AV3" i="4"/>
  <c r="V36" i="4" s="1"/>
  <c r="AY33" i="4"/>
  <c r="AI7" i="3"/>
  <c r="AU14" i="3"/>
  <c r="AU17" i="3"/>
  <c r="AU28" i="3"/>
  <c r="V4" i="4"/>
  <c r="AU34" i="4" s="1"/>
  <c r="AR5" i="4"/>
  <c r="R38" i="4" s="1"/>
  <c r="AU6" i="3"/>
  <c r="AU19" i="3"/>
  <c r="AU27" i="3"/>
  <c r="AU15" i="3"/>
  <c r="AU20" i="3"/>
  <c r="AI11" i="3"/>
  <c r="K18" i="3"/>
  <c r="L18" i="3" s="1"/>
  <c r="E16" i="4" s="1"/>
  <c r="V16" i="4" s="1"/>
  <c r="D30" i="6"/>
  <c r="F30" i="6"/>
  <c r="L29" i="6"/>
  <c r="AU9" i="3"/>
  <c r="K14" i="3"/>
  <c r="L14" i="3" s="1"/>
  <c r="E12" i="4" s="1"/>
  <c r="V12" i="4" s="1"/>
  <c r="K16" i="3"/>
  <c r="L16" i="3" s="1"/>
  <c r="E14" i="4" s="1"/>
  <c r="V14" i="4" s="1"/>
  <c r="AU22" i="3"/>
  <c r="AU23" i="3"/>
  <c r="K20" i="3"/>
  <c r="L20" i="3" s="1"/>
  <c r="E18" i="4" s="1"/>
  <c r="V18" i="4" s="1"/>
  <c r="AU24" i="3"/>
  <c r="AI23" i="3"/>
  <c r="K23" i="3"/>
  <c r="L23" i="3" s="1"/>
  <c r="E21" i="4" s="1"/>
  <c r="V21" i="4" s="1"/>
  <c r="AU51" i="4" s="1"/>
  <c r="D47" i="6"/>
  <c r="G59" i="6"/>
  <c r="AN2" i="4" s="1"/>
  <c r="I39" i="6"/>
  <c r="F39" i="6"/>
  <c r="L38" i="6"/>
  <c r="M43" i="6" s="1"/>
  <c r="K13" i="3"/>
  <c r="L13" i="3" s="1"/>
  <c r="E11" i="4" s="1"/>
  <c r="V11" i="4" s="1"/>
  <c r="AU41" i="4" s="1"/>
  <c r="K19" i="3"/>
  <c r="L19" i="3" s="1"/>
  <c r="E17" i="4" s="1"/>
  <c r="V17" i="4" s="1"/>
  <c r="AU47" i="4" s="1"/>
  <c r="AU16" i="3"/>
  <c r="AU12" i="3"/>
  <c r="AA48" i="4"/>
  <c r="CE14" i="3"/>
  <c r="AS6" i="4"/>
  <c r="S39" i="4" s="1"/>
  <c r="AR4" i="4"/>
  <c r="R37" i="4" s="1"/>
  <c r="AS7" i="4"/>
  <c r="S40" i="4" s="1"/>
  <c r="V28" i="4"/>
  <c r="AU58" i="4" s="1"/>
  <c r="AR25" i="4"/>
  <c r="R58" i="4" s="1"/>
  <c r="AS16" i="4"/>
  <c r="S49" i="4" s="1"/>
  <c r="CE29" i="3"/>
  <c r="AS14" i="4"/>
  <c r="S47" i="4" s="1"/>
  <c r="CE24" i="3"/>
  <c r="AS24" i="4"/>
  <c r="S57" i="4" s="1"/>
  <c r="CE12" i="3"/>
  <c r="AS21" i="4"/>
  <c r="S54" i="4" s="1"/>
  <c r="AS12" i="4"/>
  <c r="S45" i="4" s="1"/>
  <c r="CE20" i="3"/>
  <c r="AS17" i="4"/>
  <c r="AS10" i="4"/>
  <c r="S43" i="4" s="1"/>
  <c r="CE30" i="3"/>
  <c r="AU11" i="3"/>
  <c r="AS15" i="4"/>
  <c r="S48" i="4" s="1"/>
  <c r="CQ30" i="3"/>
  <c r="AS13" i="4"/>
  <c r="S46" i="4" s="1"/>
  <c r="AR26" i="4"/>
  <c r="R59" i="4" s="1"/>
  <c r="AS20" i="4"/>
  <c r="S53" i="4" s="1"/>
  <c r="AS11" i="4"/>
  <c r="S44" i="4" s="1"/>
  <c r="CE8" i="3"/>
  <c r="AR3" i="4"/>
  <c r="R36" i="4" s="1"/>
  <c r="CE13" i="3"/>
  <c r="AS9" i="4"/>
  <c r="S42" i="4" s="1"/>
  <c r="AS8" i="4"/>
  <c r="S41" i="4" s="1"/>
  <c r="CE26" i="3"/>
  <c r="CE23" i="3"/>
  <c r="CE11" i="3"/>
  <c r="AI22" i="3"/>
  <c r="CQ26" i="3"/>
  <c r="AI17" i="3"/>
  <c r="CQ16" i="3"/>
  <c r="AI21" i="3"/>
  <c r="CQ10" i="3"/>
  <c r="AI26" i="3"/>
  <c r="AI16" i="3"/>
  <c r="AI14" i="3"/>
  <c r="CQ7" i="3"/>
  <c r="CQ28" i="3"/>
  <c r="CQ20" i="3"/>
  <c r="AI24" i="3"/>
  <c r="CQ8" i="3"/>
  <c r="AA40" i="4"/>
  <c r="CQ29" i="3"/>
  <c r="AR2" i="4"/>
  <c r="R35" i="4" s="1"/>
  <c r="Q62" i="4" s="1"/>
  <c r="CQ13" i="3"/>
  <c r="CQ14" i="3"/>
  <c r="AI8" i="3"/>
  <c r="AI18" i="3"/>
  <c r="CQ24" i="3"/>
  <c r="Y40" i="4"/>
  <c r="CQ18" i="3"/>
  <c r="AI19" i="3"/>
  <c r="AI27" i="3"/>
  <c r="AI20" i="3"/>
  <c r="CQ9" i="3"/>
  <c r="CE7" i="3"/>
  <c r="CE19" i="3"/>
  <c r="CE18" i="3"/>
  <c r="CE22" i="3"/>
  <c r="CE9" i="3"/>
  <c r="AU30" i="3"/>
  <c r="AA53" i="4"/>
  <c r="CQ25" i="3"/>
  <c r="CE21" i="3"/>
  <c r="AU29" i="3"/>
  <c r="AV26" i="4"/>
  <c r="G59" i="4" s="1"/>
  <c r="U86" i="4" s="1"/>
  <c r="CQ23" i="3"/>
  <c r="CQ19" i="3"/>
  <c r="CE15" i="3"/>
  <c r="AI15" i="3"/>
  <c r="AA44" i="4"/>
  <c r="CE17" i="3"/>
  <c r="CQ22" i="3"/>
  <c r="AI10" i="3"/>
  <c r="AI9" i="3"/>
  <c r="CQ11" i="3"/>
  <c r="AI6" i="3"/>
  <c r="CQ6" i="3"/>
  <c r="CQ27" i="3"/>
  <c r="V13" i="4"/>
  <c r="AU43" i="4" s="1"/>
  <c r="AI12" i="3"/>
  <c r="AI28" i="3"/>
  <c r="AI29" i="3"/>
  <c r="CE6" i="3"/>
  <c r="V5" i="4"/>
  <c r="AU35" i="4" s="1"/>
  <c r="CE10" i="3"/>
  <c r="CE27" i="3"/>
  <c r="CQ21" i="3"/>
  <c r="V19" i="4"/>
  <c r="AU49" i="4" s="1"/>
  <c r="CQ12" i="3"/>
  <c r="CQ15" i="3"/>
  <c r="CE25" i="3"/>
  <c r="AI25" i="3"/>
  <c r="AI30" i="3"/>
  <c r="CQ17" i="3"/>
  <c r="AA37" i="4"/>
  <c r="C40" i="4"/>
  <c r="Q67" i="4" s="1"/>
  <c r="U35" i="4"/>
  <c r="F35" i="4"/>
  <c r="T62" i="4" s="1"/>
  <c r="V38" i="4"/>
  <c r="U38" i="4"/>
  <c r="Y38" i="4"/>
  <c r="V20" i="4"/>
  <c r="AC35" i="4"/>
  <c r="AL35" i="4"/>
  <c r="R47" i="4"/>
  <c r="A78" i="4"/>
  <c r="P51" i="4"/>
  <c r="AE51" i="4" s="1"/>
  <c r="AJ51" i="4" s="1"/>
  <c r="A70" i="4"/>
  <c r="P43" i="4"/>
  <c r="AE43" i="4" s="1"/>
  <c r="AJ43" i="4" s="1"/>
  <c r="C85" i="4"/>
  <c r="I86" i="4" s="1"/>
  <c r="AC58" i="4"/>
  <c r="AL58" i="4"/>
  <c r="C77" i="4"/>
  <c r="I78" i="4" s="1"/>
  <c r="AC50" i="4"/>
  <c r="AL50" i="4"/>
  <c r="AA50" i="4"/>
  <c r="U19" i="4"/>
  <c r="AT49" i="4" s="1"/>
  <c r="C69" i="4"/>
  <c r="I70" i="4" s="1"/>
  <c r="AL42" i="4"/>
  <c r="AC42" i="4"/>
  <c r="U11" i="4"/>
  <c r="P53" i="4"/>
  <c r="AE53" i="4" s="1"/>
  <c r="AJ53" i="4" s="1"/>
  <c r="A80" i="4"/>
  <c r="A72" i="4"/>
  <c r="P45" i="4"/>
  <c r="AE45" i="4" s="1"/>
  <c r="AJ45" i="4" s="1"/>
  <c r="A64" i="4"/>
  <c r="P37" i="4"/>
  <c r="AE37" i="4" s="1"/>
  <c r="AJ37" i="4" s="1"/>
  <c r="A83" i="4"/>
  <c r="P56" i="4"/>
  <c r="AE56" i="4" s="1"/>
  <c r="AJ56" i="4" s="1"/>
  <c r="P48" i="4"/>
  <c r="AE48" i="4" s="1"/>
  <c r="AJ48" i="4" s="1"/>
  <c r="A75" i="4"/>
  <c r="A67" i="4"/>
  <c r="P40" i="4"/>
  <c r="AE40" i="4" s="1"/>
  <c r="AJ40" i="4" s="1"/>
  <c r="C78" i="4"/>
  <c r="I79" i="4" s="1"/>
  <c r="AA51" i="4"/>
  <c r="U20" i="4"/>
  <c r="AT50" i="4" s="1"/>
  <c r="AC51" i="4"/>
  <c r="AL51" i="4"/>
  <c r="C70" i="4"/>
  <c r="I71" i="4" s="1"/>
  <c r="U12" i="4"/>
  <c r="AT42" i="4" s="1"/>
  <c r="AL43" i="4"/>
  <c r="AC43" i="4"/>
  <c r="P54" i="4"/>
  <c r="AE54" i="4" s="1"/>
  <c r="AJ54" i="4" s="1"/>
  <c r="A81" i="4"/>
  <c r="A73" i="4"/>
  <c r="P46" i="4"/>
  <c r="AE46" i="4" s="1"/>
  <c r="AJ46" i="4" s="1"/>
  <c r="A65" i="4"/>
  <c r="P38" i="4"/>
  <c r="AE38" i="4" s="1"/>
  <c r="AJ38" i="4" s="1"/>
  <c r="C80" i="4"/>
  <c r="I81" i="4" s="1"/>
  <c r="AL53" i="4"/>
  <c r="U22" i="4"/>
  <c r="AT52" i="4" s="1"/>
  <c r="R53" i="4"/>
  <c r="AC53" i="4"/>
  <c r="C72" i="4"/>
  <c r="I73" i="4" s="1"/>
  <c r="U14" i="4"/>
  <c r="AT44" i="4" s="1"/>
  <c r="AA45" i="4"/>
  <c r="R45" i="4"/>
  <c r="AC45" i="4"/>
  <c r="AL45" i="4"/>
  <c r="C64" i="4"/>
  <c r="I65" i="4" s="1"/>
  <c r="AL37" i="4"/>
  <c r="AC37" i="4"/>
  <c r="C83" i="4"/>
  <c r="I84" i="4" s="1"/>
  <c r="AA56" i="4"/>
  <c r="AC56" i="4"/>
  <c r="U25" i="4"/>
  <c r="AT55" i="4" s="1"/>
  <c r="AL56" i="4"/>
  <c r="C75" i="4"/>
  <c r="I76" i="4" s="1"/>
  <c r="AL48" i="4"/>
  <c r="AC48" i="4"/>
  <c r="U17" i="4"/>
  <c r="AT47" i="4" s="1"/>
  <c r="C67" i="4"/>
  <c r="I68" i="4" s="1"/>
  <c r="AC40" i="4"/>
  <c r="AL40" i="4"/>
  <c r="A82" i="4"/>
  <c r="P55" i="4"/>
  <c r="AE55" i="4" s="1"/>
  <c r="AJ55" i="4" s="1"/>
  <c r="A74" i="4"/>
  <c r="P47" i="4"/>
  <c r="AE47" i="4" s="1"/>
  <c r="AJ47" i="4" s="1"/>
  <c r="A66" i="4"/>
  <c r="P39" i="4"/>
  <c r="AE39" i="4" s="1"/>
  <c r="AJ39" i="4" s="1"/>
  <c r="C81" i="4"/>
  <c r="I82" i="4" s="1"/>
  <c r="AL54" i="4"/>
  <c r="U23" i="4"/>
  <c r="AT53" i="4" s="1"/>
  <c r="AC54" i="4"/>
  <c r="C73" i="4"/>
  <c r="I74" i="4" s="1"/>
  <c r="U15" i="4"/>
  <c r="AT45" i="4" s="1"/>
  <c r="AL46" i="4"/>
  <c r="AC46" i="4"/>
  <c r="C65" i="4"/>
  <c r="I66" i="4" s="1"/>
  <c r="AC38" i="4"/>
  <c r="AL38" i="4"/>
  <c r="A84" i="4"/>
  <c r="P57" i="4"/>
  <c r="AE57" i="4" s="1"/>
  <c r="AJ57" i="4" s="1"/>
  <c r="A76" i="4"/>
  <c r="P49" i="4"/>
  <c r="AE49" i="4" s="1"/>
  <c r="AJ49" i="4" s="1"/>
  <c r="A68" i="4"/>
  <c r="P41" i="4"/>
  <c r="AE41" i="4" s="1"/>
  <c r="AJ41" i="4" s="1"/>
  <c r="A79" i="4"/>
  <c r="P52" i="4"/>
  <c r="AE52" i="4" s="1"/>
  <c r="AJ52" i="4" s="1"/>
  <c r="P44" i="4"/>
  <c r="AE44" i="4" s="1"/>
  <c r="AJ44" i="4" s="1"/>
  <c r="A71" i="4"/>
  <c r="A63" i="4"/>
  <c r="P36" i="4"/>
  <c r="AE36" i="4" s="1"/>
  <c r="AJ36" i="4" s="1"/>
  <c r="C82" i="4"/>
  <c r="I83" i="4" s="1"/>
  <c r="U24" i="4"/>
  <c r="AT54" i="4" s="1"/>
  <c r="AC55" i="4"/>
  <c r="R55" i="4"/>
  <c r="AL55" i="4"/>
  <c r="AA55" i="4"/>
  <c r="C74" i="4"/>
  <c r="I75" i="4" s="1"/>
  <c r="AA47" i="4"/>
  <c r="AL47" i="4"/>
  <c r="U16" i="4"/>
  <c r="AT46" i="4" s="1"/>
  <c r="AC47" i="4"/>
  <c r="C66" i="4"/>
  <c r="I67" i="4" s="1"/>
  <c r="Q66" i="4"/>
  <c r="AC39" i="4"/>
  <c r="AL39" i="4"/>
  <c r="A85" i="4"/>
  <c r="P58" i="4"/>
  <c r="AE58" i="4" s="1"/>
  <c r="AJ58" i="4" s="1"/>
  <c r="P50" i="4"/>
  <c r="AE50" i="4" s="1"/>
  <c r="AJ50" i="4" s="1"/>
  <c r="A77" i="4"/>
  <c r="P42" i="4"/>
  <c r="AE42" i="4" s="1"/>
  <c r="AJ42" i="4" s="1"/>
  <c r="A69" i="4"/>
  <c r="C84" i="4"/>
  <c r="I85" i="4" s="1"/>
  <c r="U26" i="4"/>
  <c r="AT56" i="4" s="1"/>
  <c r="AL57" i="4"/>
  <c r="R57" i="4"/>
  <c r="AC57" i="4"/>
  <c r="C76" i="4"/>
  <c r="I77" i="4" s="1"/>
  <c r="AA49" i="4"/>
  <c r="AC49" i="4"/>
  <c r="U18" i="4"/>
  <c r="AT48" i="4" s="1"/>
  <c r="AL49" i="4"/>
  <c r="R49" i="4"/>
  <c r="C68" i="4"/>
  <c r="I69" i="4" s="1"/>
  <c r="C41" i="4"/>
  <c r="Q68" i="4" s="1"/>
  <c r="AC41" i="4"/>
  <c r="AL41" i="4"/>
  <c r="AA58" i="4"/>
  <c r="C79" i="4"/>
  <c r="I80" i="4" s="1"/>
  <c r="U21" i="4"/>
  <c r="AT51" i="4" s="1"/>
  <c r="AL52" i="4"/>
  <c r="AA52" i="4"/>
  <c r="AC52" i="4"/>
  <c r="C71" i="4"/>
  <c r="I72" i="4" s="1"/>
  <c r="AL44" i="4"/>
  <c r="AC44" i="4"/>
  <c r="U13" i="4"/>
  <c r="AT43" i="4" s="1"/>
  <c r="C63" i="4"/>
  <c r="I64" i="4" s="1"/>
  <c r="AC36" i="4"/>
  <c r="AA36" i="4"/>
  <c r="V44" i="4"/>
  <c r="R52" i="4"/>
  <c r="R44" i="4"/>
  <c r="R41" i="4"/>
  <c r="V49" i="4"/>
  <c r="U57" i="4"/>
  <c r="U45" i="4"/>
  <c r="U58" i="4"/>
  <c r="U50" i="4"/>
  <c r="S52" i="4"/>
  <c r="Y39" i="4"/>
  <c r="BB9" i="4"/>
  <c r="AB42" i="4" s="1"/>
  <c r="BB10" i="4"/>
  <c r="AB43" i="4" s="1"/>
  <c r="BB12" i="4"/>
  <c r="AB45" i="4" s="1"/>
  <c r="BB14" i="4"/>
  <c r="AB47" i="4" s="1"/>
  <c r="BB16" i="4"/>
  <c r="AB49" i="4" s="1"/>
  <c r="BB18" i="4"/>
  <c r="AB51" i="4" s="1"/>
  <c r="BB20" i="4"/>
  <c r="AB53" i="4" s="1"/>
  <c r="BB22" i="4"/>
  <c r="AB55" i="4" s="1"/>
  <c r="BB7" i="4"/>
  <c r="AB40" i="4" s="1"/>
  <c r="BB6" i="4"/>
  <c r="AB39" i="4" s="1"/>
  <c r="BB8" i="4"/>
  <c r="AB41" i="4" s="1"/>
  <c r="BB21" i="4"/>
  <c r="AB54" i="4" s="1"/>
  <c r="BB5" i="4"/>
  <c r="AB38" i="4" s="1"/>
  <c r="BB23" i="4"/>
  <c r="AB56" i="4" s="1"/>
  <c r="BB24" i="4"/>
  <c r="AB57" i="4" s="1"/>
  <c r="BB26" i="4"/>
  <c r="AB59" i="4" s="1"/>
  <c r="BB4" i="4"/>
  <c r="AB37" i="4" s="1"/>
  <c r="BB11" i="4"/>
  <c r="AB44" i="4" s="1"/>
  <c r="BB13" i="4"/>
  <c r="AB46" i="4" s="1"/>
  <c r="BB15" i="4"/>
  <c r="AB48" i="4" s="1"/>
  <c r="BB17" i="4"/>
  <c r="AB50" i="4" s="1"/>
  <c r="BB3" i="4"/>
  <c r="AB36" i="4" s="1"/>
  <c r="BB19" i="4"/>
  <c r="AB52" i="4" s="1"/>
  <c r="BB25" i="4"/>
  <c r="AB58" i="4" s="1"/>
  <c r="BB2" i="4"/>
  <c r="AB35" i="4" s="1"/>
  <c r="DC8" i="3"/>
  <c r="DC7" i="3"/>
  <c r="DC10" i="3"/>
  <c r="DC14" i="3"/>
  <c r="DC18" i="3"/>
  <c r="DC21" i="3"/>
  <c r="DC23" i="3"/>
  <c r="DC24" i="3"/>
  <c r="DC25" i="3"/>
  <c r="DC27" i="3"/>
  <c r="DC17" i="3"/>
  <c r="DC22" i="3"/>
  <c r="DC9" i="3"/>
  <c r="DC12" i="3"/>
  <c r="DC16" i="3"/>
  <c r="DC26" i="3"/>
  <c r="DC28" i="3"/>
  <c r="DC11" i="3"/>
  <c r="DC13" i="3"/>
  <c r="DC15" i="3"/>
  <c r="DC19" i="3"/>
  <c r="DC20" i="3"/>
  <c r="DC30" i="3"/>
  <c r="DC6" i="3"/>
  <c r="DC29" i="3"/>
  <c r="AA39" i="4"/>
  <c r="R39" i="4"/>
  <c r="V50" i="4"/>
  <c r="R42" i="4"/>
  <c r="V43" i="4"/>
  <c r="U51" i="4"/>
  <c r="U52" i="4"/>
  <c r="U43" i="4"/>
  <c r="U56" i="4"/>
  <c r="U40" i="4"/>
  <c r="U48" i="4"/>
  <c r="U37" i="4"/>
  <c r="BS11" i="3"/>
  <c r="BS12" i="3"/>
  <c r="BS13" i="3"/>
  <c r="BS14" i="3"/>
  <c r="BS15" i="3"/>
  <c r="BS16" i="3"/>
  <c r="BS9" i="3"/>
  <c r="BS8" i="3"/>
  <c r="BS7" i="3"/>
  <c r="BS10" i="3"/>
  <c r="BS17" i="3"/>
  <c r="BS18" i="3"/>
  <c r="BS19" i="3"/>
  <c r="BS20" i="3"/>
  <c r="BS21" i="3"/>
  <c r="BS22" i="3"/>
  <c r="BS23" i="3"/>
  <c r="BS24" i="3"/>
  <c r="BS26" i="3"/>
  <c r="BS27" i="3"/>
  <c r="BS28" i="3"/>
  <c r="BS29" i="3"/>
  <c r="BS30" i="3"/>
  <c r="BS6" i="3"/>
  <c r="BS25" i="3"/>
  <c r="S56" i="4"/>
  <c r="Y53" i="4"/>
  <c r="Y42" i="4"/>
  <c r="Y47" i="4"/>
  <c r="Y36" i="4"/>
  <c r="Y44" i="4"/>
  <c r="Y37" i="4"/>
  <c r="DO9" i="3"/>
  <c r="DO7" i="3"/>
  <c r="DO8" i="3"/>
  <c r="DO13" i="3"/>
  <c r="DO15" i="3"/>
  <c r="DO19" i="3"/>
  <c r="DO21" i="3"/>
  <c r="DO23" i="3"/>
  <c r="DO24" i="3"/>
  <c r="DO26" i="3"/>
  <c r="DO28" i="3"/>
  <c r="DO12" i="3"/>
  <c r="DO14" i="3"/>
  <c r="DO18" i="3"/>
  <c r="DO22" i="3"/>
  <c r="DO11" i="3"/>
  <c r="DO17" i="3"/>
  <c r="DO25" i="3"/>
  <c r="DO27" i="3"/>
  <c r="DO10" i="3"/>
  <c r="DO16" i="3"/>
  <c r="DO20" i="3"/>
  <c r="DO30" i="3"/>
  <c r="DO29" i="3"/>
  <c r="DO6" i="3"/>
  <c r="AA41" i="4"/>
  <c r="V51" i="4"/>
  <c r="V56" i="4"/>
  <c r="V48" i="4"/>
  <c r="V42" i="4"/>
  <c r="V53" i="4"/>
  <c r="R56" i="4"/>
  <c r="R48" i="4"/>
  <c r="V55" i="4"/>
  <c r="V45" i="4"/>
  <c r="AW3" i="4"/>
  <c r="AW5" i="4"/>
  <c r="W38" i="4" s="1"/>
  <c r="AW10" i="4"/>
  <c r="AW12" i="4"/>
  <c r="AW14" i="4"/>
  <c r="AW16" i="4"/>
  <c r="AW7" i="4"/>
  <c r="AW9" i="4"/>
  <c r="AW4" i="4"/>
  <c r="AW21" i="4"/>
  <c r="AW24" i="4"/>
  <c r="AW26" i="4"/>
  <c r="AW18" i="4"/>
  <c r="AW23" i="4"/>
  <c r="AW6" i="4"/>
  <c r="AW8" i="4"/>
  <c r="AW20" i="4"/>
  <c r="AW25" i="4"/>
  <c r="AW11" i="4"/>
  <c r="AW13" i="4"/>
  <c r="AW15" i="4"/>
  <c r="AW17" i="4"/>
  <c r="AW19" i="4"/>
  <c r="AW22" i="4"/>
  <c r="AW2" i="4"/>
  <c r="AV2" i="4"/>
  <c r="Z28" i="4"/>
  <c r="AY58" i="4" s="1"/>
  <c r="Z4" i="4"/>
  <c r="AY34" i="4" s="1"/>
  <c r="U49" i="4"/>
  <c r="U53" i="4"/>
  <c r="U41" i="4"/>
  <c r="U46" i="4"/>
  <c r="AX9" i="4"/>
  <c r="AX3" i="4"/>
  <c r="AX4" i="4"/>
  <c r="AX10" i="4"/>
  <c r="AX12" i="4"/>
  <c r="AX14" i="4"/>
  <c r="AX16" i="4"/>
  <c r="AX18" i="4"/>
  <c r="AX20" i="4"/>
  <c r="AX22" i="4"/>
  <c r="AX7" i="4"/>
  <c r="AX5" i="4"/>
  <c r="X38" i="4" s="1"/>
  <c r="AX11" i="4"/>
  <c r="AX13" i="4"/>
  <c r="AX15" i="4"/>
  <c r="AX17" i="4"/>
  <c r="AX19" i="4"/>
  <c r="AX21" i="4"/>
  <c r="AX24" i="4"/>
  <c r="AX26" i="4"/>
  <c r="AX23" i="4"/>
  <c r="AX6" i="4"/>
  <c r="AX8" i="4"/>
  <c r="AX25" i="4"/>
  <c r="AX2" i="4"/>
  <c r="AA28" i="4"/>
  <c r="AZ58" i="4" s="1"/>
  <c r="S51" i="4"/>
  <c r="Y51" i="4"/>
  <c r="Y45" i="4"/>
  <c r="Y50" i="4"/>
  <c r="Y41" i="4"/>
  <c r="AA43" i="4"/>
  <c r="V52" i="4"/>
  <c r="V41" i="4"/>
  <c r="U54" i="4"/>
  <c r="U36" i="4"/>
  <c r="U39" i="4"/>
  <c r="Y56" i="4"/>
  <c r="Y52" i="4"/>
  <c r="Y49" i="4"/>
  <c r="Y46" i="4"/>
  <c r="V39" i="4"/>
  <c r="R50" i="4"/>
  <c r="R40" i="4"/>
  <c r="V57" i="4"/>
  <c r="BG9" i="3"/>
  <c r="BG11" i="3"/>
  <c r="BG12" i="3"/>
  <c r="BG13" i="3"/>
  <c r="BG14" i="3"/>
  <c r="BG15" i="3"/>
  <c r="BG16" i="3"/>
  <c r="BG8" i="3"/>
  <c r="BG10" i="3"/>
  <c r="BG7" i="3"/>
  <c r="BG17" i="3"/>
  <c r="BG18" i="3"/>
  <c r="BG19" i="3"/>
  <c r="BG20" i="3"/>
  <c r="BG21" i="3"/>
  <c r="BG22" i="3"/>
  <c r="BG23" i="3"/>
  <c r="BG24" i="3"/>
  <c r="BG26" i="3"/>
  <c r="BG27" i="3"/>
  <c r="BG28" i="3"/>
  <c r="BG29" i="3"/>
  <c r="BG30" i="3"/>
  <c r="BG6" i="3"/>
  <c r="BG25" i="3"/>
  <c r="AA42" i="4"/>
  <c r="AA38" i="4"/>
  <c r="AA57" i="4"/>
  <c r="V54" i="4"/>
  <c r="V46" i="4"/>
  <c r="V40" i="4"/>
  <c r="V58" i="4"/>
  <c r="R54" i="4"/>
  <c r="R46" i="4"/>
  <c r="R43" i="4"/>
  <c r="V37" i="4"/>
  <c r="V47" i="4"/>
  <c r="W8" i="3"/>
  <c r="W10" i="3"/>
  <c r="W12" i="3"/>
  <c r="W13" i="3"/>
  <c r="W9" i="3"/>
  <c r="X9" i="3" s="1"/>
  <c r="F7" i="4" s="1"/>
  <c r="W11" i="3"/>
  <c r="W24" i="3"/>
  <c r="W25" i="3"/>
  <c r="X25" i="3" s="1"/>
  <c r="W27" i="3"/>
  <c r="W26" i="3"/>
  <c r="W29" i="3"/>
  <c r="W28" i="3"/>
  <c r="X28" i="3" s="1"/>
  <c r="W7" i="3"/>
  <c r="X7" i="3" s="1"/>
  <c r="F5" i="4" s="1"/>
  <c r="W14" i="3"/>
  <c r="W15" i="3"/>
  <c r="X15" i="3" s="1"/>
  <c r="F13" i="4" s="1"/>
  <c r="W16" i="3"/>
  <c r="X16" i="3" s="1"/>
  <c r="F14" i="4" s="1"/>
  <c r="W17" i="3"/>
  <c r="W18" i="3"/>
  <c r="W19" i="3"/>
  <c r="W20" i="3"/>
  <c r="W21" i="3"/>
  <c r="X21" i="3" s="1"/>
  <c r="F19" i="4" s="1"/>
  <c r="W22" i="3"/>
  <c r="X22" i="3" s="1"/>
  <c r="F20" i="4" s="1"/>
  <c r="W23" i="3"/>
  <c r="W30" i="3"/>
  <c r="W6" i="3"/>
  <c r="U59" i="4"/>
  <c r="F59" i="4"/>
  <c r="T86" i="4" s="1"/>
  <c r="U47" i="4"/>
  <c r="U55" i="4"/>
  <c r="U42" i="4"/>
  <c r="U44" i="4"/>
  <c r="S50" i="4"/>
  <c r="S55" i="4"/>
  <c r="C51" i="6"/>
  <c r="C60" i="6"/>
  <c r="AJ4" i="4" s="1"/>
  <c r="Y55" i="4"/>
  <c r="Y43" i="4"/>
  <c r="J59" i="4" l="1"/>
  <c r="X86" i="4" s="1"/>
  <c r="X26" i="3"/>
  <c r="F24" i="4" s="1"/>
  <c r="X10" i="3"/>
  <c r="F8" i="4" s="1"/>
  <c r="M8" i="6"/>
  <c r="N8" i="6" s="1"/>
  <c r="S8" i="6" s="1"/>
  <c r="X29" i="3"/>
  <c r="X8" i="3"/>
  <c r="F6" i="4" s="1"/>
  <c r="W6" i="4" s="1"/>
  <c r="AV36" i="4" s="1"/>
  <c r="M7" i="6"/>
  <c r="N7" i="6" s="1"/>
  <c r="S7" i="6" s="1"/>
  <c r="M17" i="6"/>
  <c r="N17" i="6" s="1"/>
  <c r="S17" i="6" s="1"/>
  <c r="M16" i="6"/>
  <c r="M15" i="6"/>
  <c r="M24" i="6"/>
  <c r="M25" i="6"/>
  <c r="M26" i="6"/>
  <c r="C25" i="6"/>
  <c r="C34" i="6"/>
  <c r="C43" i="6" s="1"/>
  <c r="N6" i="6"/>
  <c r="S6" i="6" s="1"/>
  <c r="AT20" i="4"/>
  <c r="X6" i="3"/>
  <c r="F4" i="4" s="1"/>
  <c r="Y59" i="4"/>
  <c r="X11" i="3"/>
  <c r="F9" i="4" s="1"/>
  <c r="W9" i="4" s="1"/>
  <c r="AV39" i="4" s="1"/>
  <c r="X17" i="3"/>
  <c r="F15" i="4" s="1"/>
  <c r="W15" i="4" s="1"/>
  <c r="AV45" i="4" s="1"/>
  <c r="X27" i="3"/>
  <c r="F25" i="4" s="1"/>
  <c r="W25" i="4" s="1"/>
  <c r="AV55" i="4" s="1"/>
  <c r="C57" i="4"/>
  <c r="Q84" i="4" s="1"/>
  <c r="D57" i="4"/>
  <c r="R84" i="4" s="1"/>
  <c r="X24" i="3"/>
  <c r="F22" i="4" s="1"/>
  <c r="W22" i="4" s="1"/>
  <c r="AV52" i="4" s="1"/>
  <c r="X30" i="3"/>
  <c r="F28" i="4" s="1"/>
  <c r="C37" i="4"/>
  <c r="Q64" i="4" s="1"/>
  <c r="C35" i="4"/>
  <c r="X20" i="3"/>
  <c r="F18" i="4" s="1"/>
  <c r="W18" i="4" s="1"/>
  <c r="AV48" i="4" s="1"/>
  <c r="X23" i="3"/>
  <c r="F21" i="4" s="1"/>
  <c r="W21" i="4" s="1"/>
  <c r="AV51" i="4" s="1"/>
  <c r="X13" i="3"/>
  <c r="F11" i="4" s="1"/>
  <c r="W11" i="4" s="1"/>
  <c r="AV41" i="4" s="1"/>
  <c r="X19" i="3"/>
  <c r="F17" i="4" s="1"/>
  <c r="W17" i="4" s="1"/>
  <c r="AV47" i="4" s="1"/>
  <c r="D42" i="4"/>
  <c r="R69" i="4" s="1"/>
  <c r="C43" i="4"/>
  <c r="Q70" i="4" s="1"/>
  <c r="AT25" i="4"/>
  <c r="AT23" i="4"/>
  <c r="AG56" i="4" s="1"/>
  <c r="AT18" i="4"/>
  <c r="T51" i="4" s="1"/>
  <c r="AS26" i="4"/>
  <c r="D59" i="4" s="1"/>
  <c r="R86" i="4" s="1"/>
  <c r="AS3" i="4"/>
  <c r="D36" i="4" s="1"/>
  <c r="R63" i="4" s="1"/>
  <c r="AT21" i="4"/>
  <c r="T54" i="4" s="1"/>
  <c r="AT14" i="4"/>
  <c r="T47" i="4" s="1"/>
  <c r="AT16" i="4"/>
  <c r="AG49" i="4" s="1"/>
  <c r="W13" i="4"/>
  <c r="AV43" i="4" s="1"/>
  <c r="AT17" i="4"/>
  <c r="AG50" i="4" s="1"/>
  <c r="AT12" i="4"/>
  <c r="AG45" i="4" s="1"/>
  <c r="W7" i="4"/>
  <c r="AV37" i="4" s="1"/>
  <c r="AT7" i="4"/>
  <c r="AG40" i="4" s="1"/>
  <c r="W14" i="4"/>
  <c r="AV44" i="4" s="1"/>
  <c r="W8" i="4"/>
  <c r="AV38" i="4" s="1"/>
  <c r="AT15" i="4"/>
  <c r="T48" i="4" s="1"/>
  <c r="AT10" i="4"/>
  <c r="T43" i="4" s="1"/>
  <c r="AT13" i="4"/>
  <c r="AG46" i="4" s="1"/>
  <c r="AT4" i="4"/>
  <c r="T37" i="4" s="1"/>
  <c r="C38" i="4"/>
  <c r="Q65" i="4" s="1"/>
  <c r="W28" i="4"/>
  <c r="AV58" i="4" s="1"/>
  <c r="AT11" i="4"/>
  <c r="AG44" i="4" s="1"/>
  <c r="AT3" i="4"/>
  <c r="T36" i="4" s="1"/>
  <c r="AS2" i="4"/>
  <c r="D35" i="4" s="1"/>
  <c r="R62" i="4" s="1"/>
  <c r="AT26" i="4"/>
  <c r="T59" i="4" s="1"/>
  <c r="AT8" i="4"/>
  <c r="T41" i="4" s="1"/>
  <c r="W4" i="4"/>
  <c r="AV34" i="4" s="1"/>
  <c r="AT19" i="4"/>
  <c r="T52" i="4" s="1"/>
  <c r="AT6" i="4"/>
  <c r="AG39" i="4" s="1"/>
  <c r="W20" i="4"/>
  <c r="AV50" i="4" s="1"/>
  <c r="W24" i="4"/>
  <c r="AV54" i="4" s="1"/>
  <c r="W19" i="4"/>
  <c r="AV49" i="4" s="1"/>
  <c r="W5" i="4"/>
  <c r="AV35" i="4" s="1"/>
  <c r="AT24" i="4"/>
  <c r="T57" i="4" s="1"/>
  <c r="AT5" i="4"/>
  <c r="T38" i="4" s="1"/>
  <c r="AT2" i="4"/>
  <c r="T35" i="4" s="1"/>
  <c r="AT22" i="4"/>
  <c r="AG55" i="4" s="1"/>
  <c r="AT9" i="4"/>
  <c r="AG42" i="4" s="1"/>
  <c r="AS4" i="4"/>
  <c r="D37" i="4" s="1"/>
  <c r="R64" i="4" s="1"/>
  <c r="AS5" i="4"/>
  <c r="S38" i="4" s="1"/>
  <c r="AS25" i="4"/>
  <c r="S58" i="4" s="1"/>
  <c r="M35" i="6"/>
  <c r="X18" i="3"/>
  <c r="F16" i="4" s="1"/>
  <c r="W16" i="4" s="1"/>
  <c r="AV46" i="4" s="1"/>
  <c r="X12" i="3"/>
  <c r="F10" i="4" s="1"/>
  <c r="W10" i="4" s="1"/>
  <c r="AV40" i="4" s="1"/>
  <c r="D50" i="4"/>
  <c r="R77" i="4" s="1"/>
  <c r="X14" i="3"/>
  <c r="F12" i="4" s="1"/>
  <c r="W12" i="4" s="1"/>
  <c r="AV42" i="4" s="1"/>
  <c r="C50" i="4"/>
  <c r="Q77" i="4" s="1"/>
  <c r="D44" i="4"/>
  <c r="R71" i="4" s="1"/>
  <c r="D53" i="4"/>
  <c r="R80" i="4" s="1"/>
  <c r="D40" i="4"/>
  <c r="R67" i="4" s="1"/>
  <c r="C59" i="4"/>
  <c r="Q86" i="4" s="1"/>
  <c r="C58" i="4"/>
  <c r="Q85" i="4" s="1"/>
  <c r="AU42" i="4"/>
  <c r="D43" i="4"/>
  <c r="R70" i="4" s="1"/>
  <c r="D46" i="4"/>
  <c r="R73" i="4" s="1"/>
  <c r="AU45" i="4"/>
  <c r="D54" i="4"/>
  <c r="R81" i="4" s="1"/>
  <c r="AU53" i="4"/>
  <c r="D51" i="4"/>
  <c r="R78" i="4" s="1"/>
  <c r="AU50" i="4"/>
  <c r="M42" i="6"/>
  <c r="D56" i="4"/>
  <c r="R83" i="4" s="1"/>
  <c r="AU55" i="4"/>
  <c r="J62" i="6"/>
  <c r="J60" i="6"/>
  <c r="AO2" i="4" s="1"/>
  <c r="D48" i="6"/>
  <c r="F48" i="6" s="1"/>
  <c r="J61" i="6"/>
  <c r="M34" i="6"/>
  <c r="C42" i="4"/>
  <c r="Q69" i="4" s="1"/>
  <c r="AT41" i="4"/>
  <c r="D49" i="4"/>
  <c r="R76" i="4" s="1"/>
  <c r="AU48" i="4"/>
  <c r="D45" i="4"/>
  <c r="R72" i="4" s="1"/>
  <c r="AU44" i="4"/>
  <c r="D39" i="4"/>
  <c r="R66" i="4" s="1"/>
  <c r="AU38" i="4"/>
  <c r="D41" i="4"/>
  <c r="R68" i="4" s="1"/>
  <c r="AU40" i="4"/>
  <c r="D47" i="4"/>
  <c r="R74" i="4" s="1"/>
  <c r="AU46" i="4"/>
  <c r="M33" i="6"/>
  <c r="AU56" i="4"/>
  <c r="M44" i="6"/>
  <c r="AU37" i="4"/>
  <c r="D55" i="4"/>
  <c r="R82" i="4" s="1"/>
  <c r="AU54" i="4"/>
  <c r="V59" i="4"/>
  <c r="C36" i="4"/>
  <c r="Q63" i="4" s="1"/>
  <c r="D48" i="4"/>
  <c r="R75" i="4" s="1"/>
  <c r="H59" i="4"/>
  <c r="V86" i="4" s="1"/>
  <c r="H35" i="4"/>
  <c r="V62" i="4" s="1"/>
  <c r="AJ15" i="3"/>
  <c r="G13" i="4" s="1"/>
  <c r="X13" i="4" s="1"/>
  <c r="AJ16" i="3"/>
  <c r="G14" i="4" s="1"/>
  <c r="X14" i="4" s="1"/>
  <c r="D52" i="4"/>
  <c r="R79" i="4" s="1"/>
  <c r="C54" i="4"/>
  <c r="Q81" i="4" s="1"/>
  <c r="C52" i="4"/>
  <c r="Q79" i="4" s="1"/>
  <c r="C48" i="4"/>
  <c r="Q75" i="4" s="1"/>
  <c r="C46" i="4"/>
  <c r="Q73" i="4" s="1"/>
  <c r="C56" i="4"/>
  <c r="Q83" i="4" s="1"/>
  <c r="I59" i="4"/>
  <c r="W86" i="4" s="1"/>
  <c r="C44" i="4"/>
  <c r="Q71" i="4" s="1"/>
  <c r="C49" i="4"/>
  <c r="Q76" i="4" s="1"/>
  <c r="C55" i="4"/>
  <c r="Q82" i="4" s="1"/>
  <c r="C51" i="4"/>
  <c r="Q78" i="4" s="1"/>
  <c r="C45" i="4"/>
  <c r="Q72" i="4" s="1"/>
  <c r="C53" i="4"/>
  <c r="Q80" i="4" s="1"/>
  <c r="C47" i="4"/>
  <c r="Q74" i="4" s="1"/>
  <c r="T53" i="4"/>
  <c r="X39" i="4"/>
  <c r="X48" i="4"/>
  <c r="X49" i="4"/>
  <c r="W55" i="4"/>
  <c r="W41" i="4"/>
  <c r="W36" i="4"/>
  <c r="X54" i="4"/>
  <c r="X46" i="4"/>
  <c r="X55" i="4"/>
  <c r="X47" i="4"/>
  <c r="X36" i="4"/>
  <c r="G35" i="4"/>
  <c r="U62" i="4" s="1"/>
  <c r="V35" i="4"/>
  <c r="W52" i="4"/>
  <c r="W44" i="4"/>
  <c r="W39" i="4"/>
  <c r="W59" i="4"/>
  <c r="W42" i="4"/>
  <c r="W45" i="4"/>
  <c r="AJ9" i="3"/>
  <c r="AG53" i="4"/>
  <c r="X35" i="4"/>
  <c r="X57" i="4"/>
  <c r="X40" i="4"/>
  <c r="X37" i="4"/>
  <c r="W46" i="4"/>
  <c r="W37" i="4"/>
  <c r="W47" i="4"/>
  <c r="AK13" i="4"/>
  <c r="AK7" i="4"/>
  <c r="AK10" i="4"/>
  <c r="AL10" i="4"/>
  <c r="AM10" i="4"/>
  <c r="AL4" i="4"/>
  <c r="AJ7" i="3"/>
  <c r="F26" i="4"/>
  <c r="W26" i="4" s="1"/>
  <c r="AJ28" i="3"/>
  <c r="F23" i="4"/>
  <c r="W23" i="4" s="1"/>
  <c r="AV53" i="4" s="1"/>
  <c r="AJ25" i="3"/>
  <c r="X58" i="4"/>
  <c r="X56" i="4"/>
  <c r="X52" i="4"/>
  <c r="X44" i="4"/>
  <c r="X53" i="4"/>
  <c r="X45" i="4"/>
  <c r="X42" i="4"/>
  <c r="AJ10" i="3"/>
  <c r="W35" i="4"/>
  <c r="W50" i="4"/>
  <c r="W58" i="4"/>
  <c r="W56" i="4"/>
  <c r="W57" i="4"/>
  <c r="W40" i="4"/>
  <c r="W43" i="4"/>
  <c r="F27" i="4"/>
  <c r="W27" i="4" s="1"/>
  <c r="AV57" i="4" s="1"/>
  <c r="AJ29" i="3"/>
  <c r="AJ21" i="3"/>
  <c r="T58" i="4"/>
  <c r="T44" i="4"/>
  <c r="T55" i="4"/>
  <c r="AJ26" i="3"/>
  <c r="X41" i="4"/>
  <c r="X59" i="4"/>
  <c r="X50" i="4"/>
  <c r="X51" i="4"/>
  <c r="X43" i="4"/>
  <c r="W48" i="4"/>
  <c r="W53" i="4"/>
  <c r="W51" i="4"/>
  <c r="W54" i="4"/>
  <c r="W49" i="4"/>
  <c r="AJ8" i="3"/>
  <c r="AJ22" i="3"/>
  <c r="AJ11" i="3" l="1"/>
  <c r="N15" i="6"/>
  <c r="N16" i="6"/>
  <c r="S16" i="6" s="1"/>
  <c r="C52" i="6"/>
  <c r="C61" i="6"/>
  <c r="AJ5" i="4" s="1"/>
  <c r="N25" i="6"/>
  <c r="S25" i="6" s="1"/>
  <c r="N26" i="6"/>
  <c r="T40" i="4"/>
  <c r="AJ27" i="3"/>
  <c r="AV27" i="3" s="1"/>
  <c r="AJ6" i="3"/>
  <c r="AJ17" i="3"/>
  <c r="G15" i="4" s="1"/>
  <c r="X15" i="4" s="1"/>
  <c r="F46" i="4" s="1"/>
  <c r="T73" i="4" s="1"/>
  <c r="AJ13" i="3"/>
  <c r="G11" i="4" s="1"/>
  <c r="X11" i="4" s="1"/>
  <c r="AJ24" i="3"/>
  <c r="G22" i="4" s="1"/>
  <c r="X22" i="4" s="1"/>
  <c r="AW52" i="4" s="1"/>
  <c r="AJ30" i="3"/>
  <c r="AV30" i="3" s="1"/>
  <c r="AG36" i="4"/>
  <c r="T49" i="4"/>
  <c r="AJ20" i="3"/>
  <c r="G18" i="4" s="1"/>
  <c r="X18" i="4" s="1"/>
  <c r="AW48" i="4" s="1"/>
  <c r="AJ23" i="3"/>
  <c r="AV23" i="3" s="1"/>
  <c r="AV56" i="4"/>
  <c r="E57" i="4"/>
  <c r="S84" i="4" s="1"/>
  <c r="E36" i="4"/>
  <c r="S63" i="4" s="1"/>
  <c r="AG48" i="4"/>
  <c r="AG57" i="4"/>
  <c r="AG58" i="4"/>
  <c r="T50" i="4"/>
  <c r="T46" i="4"/>
  <c r="AG51" i="4"/>
  <c r="D58" i="4"/>
  <c r="R85" i="4" s="1"/>
  <c r="T56" i="4"/>
  <c r="D38" i="4"/>
  <c r="R65" i="4" s="1"/>
  <c r="S35" i="4"/>
  <c r="E37" i="4"/>
  <c r="S64" i="4" s="1"/>
  <c r="S36" i="4"/>
  <c r="E51" i="4"/>
  <c r="S78" i="4" s="1"/>
  <c r="AG59" i="4"/>
  <c r="S59" i="4"/>
  <c r="AJ19" i="3"/>
  <c r="G17" i="4" s="1"/>
  <c r="X17" i="4" s="1"/>
  <c r="AW47" i="4" s="1"/>
  <c r="AJ12" i="3"/>
  <c r="G10" i="4" s="1"/>
  <c r="X10" i="4" s="1"/>
  <c r="AW40" i="4" s="1"/>
  <c r="E53" i="4"/>
  <c r="S80" i="4" s="1"/>
  <c r="E49" i="4"/>
  <c r="S76" i="4" s="1"/>
  <c r="AJ18" i="3"/>
  <c r="G16" i="4" s="1"/>
  <c r="X16" i="4" s="1"/>
  <c r="AW46" i="4" s="1"/>
  <c r="AG41" i="4"/>
  <c r="AG35" i="4"/>
  <c r="E38" i="4"/>
  <c r="S65" i="4" s="1"/>
  <c r="E48" i="4"/>
  <c r="S75" i="4" s="1"/>
  <c r="E46" i="4"/>
  <c r="S73" i="4" s="1"/>
  <c r="E52" i="4"/>
  <c r="S79" i="4" s="1"/>
  <c r="T42" i="4"/>
  <c r="AG54" i="4"/>
  <c r="AG43" i="4"/>
  <c r="AG38" i="4"/>
  <c r="AG52" i="4"/>
  <c r="E42" i="4"/>
  <c r="S69" i="4" s="1"/>
  <c r="S37" i="4"/>
  <c r="T39" i="4"/>
  <c r="AG47" i="4"/>
  <c r="AG37" i="4"/>
  <c r="E50" i="4"/>
  <c r="S77" i="4" s="1"/>
  <c r="E55" i="4"/>
  <c r="S82" i="4" s="1"/>
  <c r="E35" i="4"/>
  <c r="S62" i="4" s="1"/>
  <c r="E44" i="4"/>
  <c r="S71" i="4" s="1"/>
  <c r="E39" i="4"/>
  <c r="S66" i="4" s="1"/>
  <c r="E41" i="4"/>
  <c r="S68" i="4" s="1"/>
  <c r="E40" i="4"/>
  <c r="S67" i="4" s="1"/>
  <c r="T45" i="4"/>
  <c r="E45" i="4"/>
  <c r="S72" i="4" s="1"/>
  <c r="E59" i="4"/>
  <c r="S86" i="4" s="1"/>
  <c r="E47" i="4"/>
  <c r="S74" i="4" s="1"/>
  <c r="E43" i="4"/>
  <c r="S70" i="4" s="1"/>
  <c r="AJ14" i="3"/>
  <c r="E56" i="4"/>
  <c r="S83" i="4" s="1"/>
  <c r="F45" i="4"/>
  <c r="T72" i="4" s="1"/>
  <c r="AW44" i="4"/>
  <c r="F44" i="4"/>
  <c r="T71" i="4" s="1"/>
  <c r="AW43" i="4"/>
  <c r="AP2" i="4"/>
  <c r="AV15" i="3"/>
  <c r="H13" i="4" s="1"/>
  <c r="Y13" i="4" s="1"/>
  <c r="AX43" i="4" s="1"/>
  <c r="AV17" i="3"/>
  <c r="H15" i="4" s="1"/>
  <c r="Y15" i="4" s="1"/>
  <c r="AV16" i="3"/>
  <c r="G8" i="4"/>
  <c r="X8" i="4" s="1"/>
  <c r="AW38" i="4" s="1"/>
  <c r="AV10" i="3"/>
  <c r="G26" i="4"/>
  <c r="X26" i="4" s="1"/>
  <c r="AV28" i="3"/>
  <c r="G5" i="4"/>
  <c r="X5" i="4" s="1"/>
  <c r="AW35" i="4" s="1"/>
  <c r="AV7" i="3"/>
  <c r="G4" i="4"/>
  <c r="AV6" i="3"/>
  <c r="G19" i="4"/>
  <c r="X19" i="4" s="1"/>
  <c r="AW49" i="4" s="1"/>
  <c r="AV21" i="3"/>
  <c r="G27" i="4"/>
  <c r="X27" i="4" s="1"/>
  <c r="AW57" i="4" s="1"/>
  <c r="AV29" i="3"/>
  <c r="G24" i="4"/>
  <c r="X24" i="4" s="1"/>
  <c r="AW54" i="4" s="1"/>
  <c r="AV26" i="3"/>
  <c r="G20" i="4"/>
  <c r="X20" i="4" s="1"/>
  <c r="AW50" i="4" s="1"/>
  <c r="AV22" i="3"/>
  <c r="G23" i="4"/>
  <c r="X23" i="4" s="1"/>
  <c r="AW53" i="4" s="1"/>
  <c r="AV25" i="3"/>
  <c r="G9" i="4"/>
  <c r="X9" i="4" s="1"/>
  <c r="AW39" i="4" s="1"/>
  <c r="AV11" i="3"/>
  <c r="E58" i="4"/>
  <c r="S85" i="4" s="1"/>
  <c r="G6" i="4"/>
  <c r="X6" i="4" s="1"/>
  <c r="AW36" i="4" s="1"/>
  <c r="AV8" i="3"/>
  <c r="E54" i="4"/>
  <c r="S81" i="4" s="1"/>
  <c r="G7" i="4"/>
  <c r="X7" i="4" s="1"/>
  <c r="AW37" i="4" s="1"/>
  <c r="AV9" i="3"/>
  <c r="G28" i="4" l="1"/>
  <c r="AV24" i="3"/>
  <c r="H22" i="4" s="1"/>
  <c r="Y22" i="4" s="1"/>
  <c r="AX52" i="4" s="1"/>
  <c r="AV13" i="3"/>
  <c r="AW45" i="4"/>
  <c r="S15" i="6"/>
  <c r="N24" i="6"/>
  <c r="N35" i="6"/>
  <c r="F62" i="6" s="1"/>
  <c r="S26" i="6"/>
  <c r="N34" i="6"/>
  <c r="F61" i="6" s="1"/>
  <c r="AM5" i="4" s="1"/>
  <c r="AL8" i="4" s="1"/>
  <c r="G25" i="4"/>
  <c r="X25" i="4" s="1"/>
  <c r="AW55" i="4" s="1"/>
  <c r="AK8" i="4"/>
  <c r="AM11" i="4"/>
  <c r="AL5" i="4"/>
  <c r="AK11" i="4"/>
  <c r="AL11" i="4"/>
  <c r="AK14" i="4"/>
  <c r="F53" i="4"/>
  <c r="T80" i="4" s="1"/>
  <c r="F49" i="4"/>
  <c r="T76" i="4" s="1"/>
  <c r="AV12" i="3"/>
  <c r="BH12" i="3" s="1"/>
  <c r="AV20" i="3"/>
  <c r="H18" i="4" s="1"/>
  <c r="Y18" i="4" s="1"/>
  <c r="AX48" i="4" s="1"/>
  <c r="G21" i="4"/>
  <c r="X21" i="4" s="1"/>
  <c r="AW51" i="4" s="1"/>
  <c r="AV19" i="3"/>
  <c r="H17" i="4" s="1"/>
  <c r="Y17" i="4" s="1"/>
  <c r="AX47" i="4" s="1"/>
  <c r="AW56" i="4"/>
  <c r="F57" i="4"/>
  <c r="T84" i="4" s="1"/>
  <c r="F48" i="4"/>
  <c r="T75" i="4" s="1"/>
  <c r="BH15" i="3"/>
  <c r="I13" i="4" s="1"/>
  <c r="Z13" i="4" s="1"/>
  <c r="AY43" i="4" s="1"/>
  <c r="AV18" i="3"/>
  <c r="BH18" i="3" s="1"/>
  <c r="G12" i="4"/>
  <c r="X12" i="4" s="1"/>
  <c r="AV14" i="3"/>
  <c r="G44" i="4"/>
  <c r="U71" i="4" s="1"/>
  <c r="AK16" i="4"/>
  <c r="AN10" i="4"/>
  <c r="BH17" i="3"/>
  <c r="I15" i="4" s="1"/>
  <c r="Z15" i="4" s="1"/>
  <c r="AK17" i="4"/>
  <c r="AN11" i="4"/>
  <c r="F42" i="4"/>
  <c r="T69" i="4" s="1"/>
  <c r="AW41" i="4"/>
  <c r="G46" i="4"/>
  <c r="U73" i="4" s="1"/>
  <c r="AX45" i="4"/>
  <c r="F36" i="4"/>
  <c r="T63" i="4" s="1"/>
  <c r="BH24" i="3"/>
  <c r="I22" i="4" s="1"/>
  <c r="Z22" i="4" s="1"/>
  <c r="AY52" i="4" s="1"/>
  <c r="H11" i="4"/>
  <c r="Y11" i="4" s="1"/>
  <c r="BH13" i="3"/>
  <c r="H14" i="4"/>
  <c r="Y14" i="4" s="1"/>
  <c r="BH16" i="3"/>
  <c r="F54" i="4"/>
  <c r="T81" i="4" s="1"/>
  <c r="H25" i="4"/>
  <c r="Y25" i="4" s="1"/>
  <c r="AX55" i="4" s="1"/>
  <c r="BH27" i="3"/>
  <c r="H28" i="4"/>
  <c r="BH30" i="3"/>
  <c r="H20" i="4"/>
  <c r="Y20" i="4" s="1"/>
  <c r="AX50" i="4" s="1"/>
  <c r="BH22" i="3"/>
  <c r="F58" i="4"/>
  <c r="T85" i="4" s="1"/>
  <c r="H26" i="4"/>
  <c r="Y26" i="4" s="1"/>
  <c r="BH28" i="3"/>
  <c r="F37" i="4"/>
  <c r="T64" i="4" s="1"/>
  <c r="F55" i="4"/>
  <c r="T82" i="4" s="1"/>
  <c r="F47" i="4"/>
  <c r="T74" i="4" s="1"/>
  <c r="H27" i="4"/>
  <c r="Y27" i="4" s="1"/>
  <c r="AX57" i="4" s="1"/>
  <c r="BH29" i="3"/>
  <c r="H4" i="4"/>
  <c r="BH6" i="3"/>
  <c r="F39" i="4"/>
  <c r="T66" i="4" s="1"/>
  <c r="H7" i="4"/>
  <c r="Y7" i="4" s="1"/>
  <c r="BH9" i="3"/>
  <c r="H9" i="4"/>
  <c r="Y9" i="4" s="1"/>
  <c r="AX39" i="4" s="1"/>
  <c r="BH11" i="3"/>
  <c r="F51" i="4"/>
  <c r="T78" i="4" s="1"/>
  <c r="H19" i="4"/>
  <c r="Y19" i="4" s="1"/>
  <c r="AX49" i="4" s="1"/>
  <c r="BH21" i="3"/>
  <c r="F38" i="4"/>
  <c r="T65" i="4" s="1"/>
  <c r="H6" i="4"/>
  <c r="Y6" i="4" s="1"/>
  <c r="AX36" i="4" s="1"/>
  <c r="BH8" i="3"/>
  <c r="F40" i="4"/>
  <c r="T67" i="4" s="1"/>
  <c r="H21" i="4"/>
  <c r="Y21" i="4" s="1"/>
  <c r="AX51" i="4" s="1"/>
  <c r="BH23" i="3"/>
  <c r="H23" i="4"/>
  <c r="Y23" i="4" s="1"/>
  <c r="AX53" i="4" s="1"/>
  <c r="BH25" i="3"/>
  <c r="F41" i="4"/>
  <c r="T68" i="4" s="1"/>
  <c r="H24" i="4"/>
  <c r="Y24" i="4" s="1"/>
  <c r="AX54" i="4" s="1"/>
  <c r="BH26" i="3"/>
  <c r="F50" i="4"/>
  <c r="T77" i="4" s="1"/>
  <c r="H5" i="4"/>
  <c r="Y5" i="4" s="1"/>
  <c r="AX35" i="4" s="1"/>
  <c r="BH7" i="3"/>
  <c r="H8" i="4"/>
  <c r="Y8" i="4" s="1"/>
  <c r="AX38" i="4" s="1"/>
  <c r="BH10" i="3"/>
  <c r="G53" i="4" l="1"/>
  <c r="U80" i="4" s="1"/>
  <c r="H10" i="4"/>
  <c r="Y10" i="4" s="1"/>
  <c r="AX40" i="4" s="1"/>
  <c r="N44" i="6"/>
  <c r="O53" i="6" s="1"/>
  <c r="I62" i="6" s="1"/>
  <c r="F56" i="4"/>
  <c r="T83" i="4" s="1"/>
  <c r="S24" i="6"/>
  <c r="N33" i="6"/>
  <c r="N43" i="6"/>
  <c r="G61" i="6" s="1"/>
  <c r="AN5" i="4" s="1"/>
  <c r="AL14" i="4" s="1"/>
  <c r="BH20" i="3"/>
  <c r="I18" i="4" s="1"/>
  <c r="Z18" i="4" s="1"/>
  <c r="H49" i="4" s="1"/>
  <c r="V76" i="4" s="1"/>
  <c r="G49" i="4"/>
  <c r="U76" i="4" s="1"/>
  <c r="BT15" i="3"/>
  <c r="CF15" i="3" s="1"/>
  <c r="F52" i="4"/>
  <c r="T79" i="4" s="1"/>
  <c r="BH19" i="3"/>
  <c r="I17" i="4" s="1"/>
  <c r="Z17" i="4" s="1"/>
  <c r="G48" i="4"/>
  <c r="U75" i="4" s="1"/>
  <c r="H16" i="4"/>
  <c r="Y16" i="4" s="1"/>
  <c r="AX46" i="4" s="1"/>
  <c r="AX56" i="4"/>
  <c r="G57" i="4"/>
  <c r="U84" i="4" s="1"/>
  <c r="BT17" i="3"/>
  <c r="J15" i="4" s="1"/>
  <c r="AA15" i="4" s="1"/>
  <c r="AZ45" i="4" s="1"/>
  <c r="H12" i="4"/>
  <c r="Y12" i="4" s="1"/>
  <c r="BH14" i="3"/>
  <c r="AW42" i="4"/>
  <c r="F43" i="4"/>
  <c r="T70" i="4" s="1"/>
  <c r="H48" i="4"/>
  <c r="V75" i="4" s="1"/>
  <c r="AY47" i="4"/>
  <c r="G36" i="4"/>
  <c r="U63" i="4" s="1"/>
  <c r="G45" i="4"/>
  <c r="U72" i="4" s="1"/>
  <c r="AX44" i="4"/>
  <c r="H46" i="4"/>
  <c r="V73" i="4" s="1"/>
  <c r="AY45" i="4"/>
  <c r="G38" i="4"/>
  <c r="U65" i="4" s="1"/>
  <c r="AX37" i="4"/>
  <c r="G42" i="4"/>
  <c r="U69" i="4" s="1"/>
  <c r="AX41" i="4"/>
  <c r="BT24" i="3"/>
  <c r="CF24" i="3" s="1"/>
  <c r="I14" i="4"/>
  <c r="Z14" i="4" s="1"/>
  <c r="BT16" i="3"/>
  <c r="I11" i="4"/>
  <c r="Z11" i="4" s="1"/>
  <c r="BT13" i="3"/>
  <c r="G55" i="4"/>
  <c r="U82" i="4" s="1"/>
  <c r="G37" i="4"/>
  <c r="U64" i="4" s="1"/>
  <c r="G50" i="4"/>
  <c r="U77" i="4" s="1"/>
  <c r="I26" i="4"/>
  <c r="Z26" i="4" s="1"/>
  <c r="BT28" i="3"/>
  <c r="I25" i="4"/>
  <c r="Z25" i="4" s="1"/>
  <c r="AY55" i="4" s="1"/>
  <c r="BT27" i="3"/>
  <c r="I16" i="4"/>
  <c r="Z16" i="4" s="1"/>
  <c r="AY46" i="4" s="1"/>
  <c r="BT18" i="3"/>
  <c r="G54" i="4"/>
  <c r="U81" i="4" s="1"/>
  <c r="G40" i="4"/>
  <c r="U67" i="4" s="1"/>
  <c r="I7" i="4"/>
  <c r="Z7" i="4" s="1"/>
  <c r="AY37" i="4" s="1"/>
  <c r="BT9" i="3"/>
  <c r="G51" i="4"/>
  <c r="U78" i="4" s="1"/>
  <c r="G56" i="4"/>
  <c r="U83" i="4" s="1"/>
  <c r="H53" i="4"/>
  <c r="V80" i="4" s="1"/>
  <c r="I23" i="4"/>
  <c r="Z23" i="4" s="1"/>
  <c r="AY53" i="4" s="1"/>
  <c r="BT25" i="3"/>
  <c r="I9" i="4"/>
  <c r="Z9" i="4" s="1"/>
  <c r="AY39" i="4" s="1"/>
  <c r="BT11" i="3"/>
  <c r="I20" i="4"/>
  <c r="Z20" i="4" s="1"/>
  <c r="AY50" i="4" s="1"/>
  <c r="BT22" i="3"/>
  <c r="I8" i="4"/>
  <c r="Z8" i="4" s="1"/>
  <c r="AY38" i="4" s="1"/>
  <c r="BT10" i="3"/>
  <c r="I21" i="4"/>
  <c r="Z21" i="4" s="1"/>
  <c r="AY51" i="4" s="1"/>
  <c r="BT23" i="3"/>
  <c r="I10" i="4"/>
  <c r="Z10" i="4" s="1"/>
  <c r="AY40" i="4" s="1"/>
  <c r="BT12" i="3"/>
  <c r="I27" i="4"/>
  <c r="Z27" i="4" s="1"/>
  <c r="AY57" i="4" s="1"/>
  <c r="BT29" i="3"/>
  <c r="I28" i="4"/>
  <c r="BT30" i="3"/>
  <c r="I5" i="4"/>
  <c r="Z5" i="4" s="1"/>
  <c r="BT7" i="3"/>
  <c r="I4" i="4"/>
  <c r="BT6" i="3"/>
  <c r="G39" i="4"/>
  <c r="U66" i="4" s="1"/>
  <c r="I24" i="4"/>
  <c r="Z24" i="4" s="1"/>
  <c r="AY54" i="4" s="1"/>
  <c r="BT26" i="3"/>
  <c r="G52" i="4"/>
  <c r="U79" i="4" s="1"/>
  <c r="I6" i="4"/>
  <c r="Z6" i="4" s="1"/>
  <c r="AY36" i="4" s="1"/>
  <c r="BT8" i="3"/>
  <c r="I19" i="4"/>
  <c r="Z19" i="4" s="1"/>
  <c r="AY49" i="4" s="1"/>
  <c r="BT21" i="3"/>
  <c r="G41" i="4"/>
  <c r="U68" i="4" s="1"/>
  <c r="G58" i="4"/>
  <c r="U85" i="4" s="1"/>
  <c r="H44" i="4"/>
  <c r="V71" i="4" s="1"/>
  <c r="BT19" i="3" l="1"/>
  <c r="CF19" i="3" s="1"/>
  <c r="AY48" i="4"/>
  <c r="G62" i="6"/>
  <c r="J13" i="4"/>
  <c r="AA13" i="4" s="1"/>
  <c r="AZ43" i="4" s="1"/>
  <c r="AM8" i="4"/>
  <c r="BT20" i="3"/>
  <c r="CF20" i="3" s="1"/>
  <c r="N42" i="6"/>
  <c r="F60" i="6"/>
  <c r="AM4" i="4" s="1"/>
  <c r="AL7" i="4" s="1"/>
  <c r="O52" i="6"/>
  <c r="I61" i="6" s="1"/>
  <c r="AP5" i="4" s="1"/>
  <c r="AN8" i="4" s="1"/>
  <c r="G47" i="4"/>
  <c r="U74" i="4" s="1"/>
  <c r="AY56" i="4"/>
  <c r="H57" i="4"/>
  <c r="V84" i="4" s="1"/>
  <c r="I46" i="4"/>
  <c r="W73" i="4" s="1"/>
  <c r="CF17" i="3"/>
  <c r="K15" i="4" s="1"/>
  <c r="AB15" i="4" s="1"/>
  <c r="J46" i="4" s="1"/>
  <c r="X73" i="4" s="1"/>
  <c r="I12" i="4"/>
  <c r="Z12" i="4" s="1"/>
  <c r="BT14" i="3"/>
  <c r="AX42" i="4"/>
  <c r="G43" i="4"/>
  <c r="U70" i="4" s="1"/>
  <c r="AY35" i="4"/>
  <c r="H36" i="4"/>
  <c r="V63" i="4" s="1"/>
  <c r="H42" i="4"/>
  <c r="V69" i="4" s="1"/>
  <c r="AY41" i="4"/>
  <c r="H45" i="4"/>
  <c r="V72" i="4" s="1"/>
  <c r="AY44" i="4"/>
  <c r="J22" i="4"/>
  <c r="AA22" i="4" s="1"/>
  <c r="J17" i="4"/>
  <c r="AA17" i="4" s="1"/>
  <c r="J11" i="4"/>
  <c r="AA11" i="4" s="1"/>
  <c r="CF13" i="3"/>
  <c r="K17" i="4"/>
  <c r="AB17" i="4" s="1"/>
  <c r="CR19" i="3"/>
  <c r="J14" i="4"/>
  <c r="AA14" i="4" s="1"/>
  <c r="CF16" i="3"/>
  <c r="H37" i="4"/>
  <c r="V64" i="4" s="1"/>
  <c r="H55" i="4"/>
  <c r="V82" i="4" s="1"/>
  <c r="J5" i="4"/>
  <c r="AA5" i="4" s="1"/>
  <c r="CF7" i="3"/>
  <c r="H52" i="4"/>
  <c r="V79" i="4" s="1"/>
  <c r="H50" i="4"/>
  <c r="V77" i="4" s="1"/>
  <c r="K13" i="4"/>
  <c r="AB13" i="4" s="1"/>
  <c r="CR15" i="3"/>
  <c r="J27" i="4"/>
  <c r="AA27" i="4" s="1"/>
  <c r="AZ57" i="4" s="1"/>
  <c r="CF29" i="3"/>
  <c r="H39" i="4"/>
  <c r="V66" i="4" s="1"/>
  <c r="J23" i="4"/>
  <c r="AA23" i="4" s="1"/>
  <c r="AZ53" i="4" s="1"/>
  <c r="CF25" i="3"/>
  <c r="J7" i="4"/>
  <c r="AA7" i="4" s="1"/>
  <c r="CF9" i="3"/>
  <c r="J25" i="4"/>
  <c r="AA25" i="4" s="1"/>
  <c r="AZ55" i="4" s="1"/>
  <c r="CF27" i="3"/>
  <c r="J6" i="4"/>
  <c r="AA6" i="4" s="1"/>
  <c r="AZ36" i="4" s="1"/>
  <c r="CF8" i="3"/>
  <c r="J24" i="4"/>
  <c r="AA24" i="4" s="1"/>
  <c r="AZ54" i="4" s="1"/>
  <c r="CF26" i="3"/>
  <c r="J4" i="4"/>
  <c r="AA4" i="4" s="1"/>
  <c r="CF6" i="3"/>
  <c r="H58" i="4"/>
  <c r="V85" i="4" s="1"/>
  <c r="J10" i="4"/>
  <c r="AA10" i="4" s="1"/>
  <c r="AZ40" i="4" s="1"/>
  <c r="CF12" i="3"/>
  <c r="J21" i="4"/>
  <c r="AA21" i="4" s="1"/>
  <c r="AZ51" i="4" s="1"/>
  <c r="CF23" i="3"/>
  <c r="J20" i="4"/>
  <c r="AA20" i="4" s="1"/>
  <c r="AZ50" i="4" s="1"/>
  <c r="CF22" i="3"/>
  <c r="H54" i="4"/>
  <c r="V81" i="4" s="1"/>
  <c r="H38" i="4"/>
  <c r="V65" i="4" s="1"/>
  <c r="H56" i="4"/>
  <c r="V83" i="4" s="1"/>
  <c r="J28" i="4"/>
  <c r="CF30" i="3"/>
  <c r="H41" i="4"/>
  <c r="V68" i="4" s="1"/>
  <c r="H51" i="4"/>
  <c r="V78" i="4" s="1"/>
  <c r="J9" i="4"/>
  <c r="AA9" i="4" s="1"/>
  <c r="AZ39" i="4" s="1"/>
  <c r="CF11" i="3"/>
  <c r="J16" i="4"/>
  <c r="AA16" i="4" s="1"/>
  <c r="AZ46" i="4" s="1"/>
  <c r="CF18" i="3"/>
  <c r="J26" i="4"/>
  <c r="AA26" i="4" s="1"/>
  <c r="CF28" i="3"/>
  <c r="J19" i="4"/>
  <c r="AA19" i="4" s="1"/>
  <c r="AZ49" i="4" s="1"/>
  <c r="CF21" i="3"/>
  <c r="K22" i="4"/>
  <c r="AB22" i="4" s="1"/>
  <c r="CR24" i="3"/>
  <c r="J8" i="4"/>
  <c r="AA8" i="4" s="1"/>
  <c r="AZ38" i="4" s="1"/>
  <c r="CF10" i="3"/>
  <c r="H40" i="4"/>
  <c r="V67" i="4" s="1"/>
  <c r="H47" i="4"/>
  <c r="V74" i="4" s="1"/>
  <c r="J18" i="4" l="1"/>
  <c r="AA18" i="4" s="1"/>
  <c r="I44" i="4"/>
  <c r="W71" i="4" s="1"/>
  <c r="O51" i="6"/>
  <c r="I60" i="6" s="1"/>
  <c r="AO4" i="4" s="1"/>
  <c r="G60" i="6"/>
  <c r="AN4" i="4" s="1"/>
  <c r="AL17" i="4"/>
  <c r="AZ34" i="4"/>
  <c r="I35" i="4"/>
  <c r="W62" i="4" s="1"/>
  <c r="AZ56" i="4"/>
  <c r="I57" i="4"/>
  <c r="W84" i="4" s="1"/>
  <c r="BA45" i="4"/>
  <c r="CR17" i="3"/>
  <c r="L15" i="4" s="1"/>
  <c r="AC15" i="4" s="1"/>
  <c r="BB45" i="4" s="1"/>
  <c r="J12" i="4"/>
  <c r="AA12" i="4" s="1"/>
  <c r="CF14" i="3"/>
  <c r="AY42" i="4"/>
  <c r="H43" i="4"/>
  <c r="V70" i="4" s="1"/>
  <c r="I53" i="4"/>
  <c r="W80" i="4" s="1"/>
  <c r="AZ52" i="4"/>
  <c r="J53" i="4"/>
  <c r="X80" i="4" s="1"/>
  <c r="BA52" i="4"/>
  <c r="I38" i="4"/>
  <c r="W65" i="4" s="1"/>
  <c r="AZ37" i="4"/>
  <c r="I49" i="4"/>
  <c r="W76" i="4" s="1"/>
  <c r="AZ48" i="4"/>
  <c r="I45" i="4"/>
  <c r="W72" i="4" s="1"/>
  <c r="AZ44" i="4"/>
  <c r="J48" i="4"/>
  <c r="X75" i="4" s="1"/>
  <c r="BA47" i="4"/>
  <c r="AZ35" i="4"/>
  <c r="I36" i="4"/>
  <c r="W63" i="4" s="1"/>
  <c r="J44" i="4"/>
  <c r="X71" i="4" s="1"/>
  <c r="BA43" i="4"/>
  <c r="I42" i="4"/>
  <c r="W69" i="4" s="1"/>
  <c r="AZ41" i="4"/>
  <c r="I48" i="4"/>
  <c r="W75" i="4" s="1"/>
  <c r="AZ47" i="4"/>
  <c r="CR20" i="3"/>
  <c r="K18" i="4"/>
  <c r="AB18" i="4" s="1"/>
  <c r="CR16" i="3"/>
  <c r="K14" i="4"/>
  <c r="AB14" i="4" s="1"/>
  <c r="L17" i="4"/>
  <c r="AC17" i="4" s="1"/>
  <c r="DD19" i="3"/>
  <c r="K11" i="4"/>
  <c r="AB11" i="4" s="1"/>
  <c r="CR13" i="3"/>
  <c r="K26" i="4"/>
  <c r="AB26" i="4" s="1"/>
  <c r="J57" i="4" s="1"/>
  <c r="CR28" i="3"/>
  <c r="K9" i="4"/>
  <c r="AB9" i="4" s="1"/>
  <c r="CR11" i="3"/>
  <c r="K28" i="4"/>
  <c r="CR30" i="3"/>
  <c r="K10" i="4"/>
  <c r="AB10" i="4" s="1"/>
  <c r="BA40" i="4" s="1"/>
  <c r="CR12" i="3"/>
  <c r="K5" i="4"/>
  <c r="AB5" i="4" s="1"/>
  <c r="BA35" i="4" s="1"/>
  <c r="CR7" i="3"/>
  <c r="I40" i="4"/>
  <c r="W67" i="4" s="1"/>
  <c r="I41" i="4"/>
  <c r="W68" i="4" s="1"/>
  <c r="I55" i="4"/>
  <c r="W82" i="4" s="1"/>
  <c r="K23" i="4"/>
  <c r="AB23" i="4" s="1"/>
  <c r="BA53" i="4" s="1"/>
  <c r="CR25" i="3"/>
  <c r="K27" i="4"/>
  <c r="AB27" i="4" s="1"/>
  <c r="CR29" i="3"/>
  <c r="L22" i="4"/>
  <c r="AC22" i="4" s="1"/>
  <c r="DD24" i="3"/>
  <c r="K16" i="4"/>
  <c r="AB16" i="4" s="1"/>
  <c r="BA46" i="4" s="1"/>
  <c r="CR18" i="3"/>
  <c r="K20" i="4"/>
  <c r="AB20" i="4" s="1"/>
  <c r="BA50" i="4" s="1"/>
  <c r="CR22" i="3"/>
  <c r="K21" i="4"/>
  <c r="AB21" i="4" s="1"/>
  <c r="CR23" i="3"/>
  <c r="K4" i="4"/>
  <c r="AB4" i="4" s="1"/>
  <c r="CR6" i="3"/>
  <c r="K6" i="4"/>
  <c r="AB6" i="4" s="1"/>
  <c r="CR8" i="3"/>
  <c r="I54" i="4"/>
  <c r="W81" i="4" s="1"/>
  <c r="I58" i="4"/>
  <c r="W85" i="4" s="1"/>
  <c r="I39" i="4"/>
  <c r="W66" i="4" s="1"/>
  <c r="K19" i="4"/>
  <c r="AB19" i="4" s="1"/>
  <c r="CR21" i="3"/>
  <c r="K24" i="4"/>
  <c r="AB24" i="4" s="1"/>
  <c r="CR26" i="3"/>
  <c r="I56" i="4"/>
  <c r="W83" i="4" s="1"/>
  <c r="I50" i="4"/>
  <c r="W77" i="4" s="1"/>
  <c r="K8" i="4"/>
  <c r="AB8" i="4" s="1"/>
  <c r="CR10" i="3"/>
  <c r="I47" i="4"/>
  <c r="W74" i="4" s="1"/>
  <c r="I51" i="4"/>
  <c r="W78" i="4" s="1"/>
  <c r="I52" i="4"/>
  <c r="W79" i="4" s="1"/>
  <c r="I37" i="4"/>
  <c r="W64" i="4" s="1"/>
  <c r="K25" i="4"/>
  <c r="AB25" i="4" s="1"/>
  <c r="CR27" i="3"/>
  <c r="K7" i="4"/>
  <c r="AB7" i="4" s="1"/>
  <c r="CR9" i="3"/>
  <c r="L13" i="4"/>
  <c r="AC13" i="4" s="1"/>
  <c r="DD15" i="3"/>
  <c r="AL13" i="4" l="1"/>
  <c r="AM7" i="4"/>
  <c r="AL16" i="4"/>
  <c r="AN7" i="4"/>
  <c r="K46" i="4"/>
  <c r="Y73" i="4" s="1"/>
  <c r="DD17" i="3"/>
  <c r="M15" i="4" s="1"/>
  <c r="AD15" i="4" s="1"/>
  <c r="L46" i="4" s="1"/>
  <c r="Z73" i="4" s="1"/>
  <c r="K12" i="4"/>
  <c r="AB12" i="4" s="1"/>
  <c r="CR14" i="3"/>
  <c r="AZ42" i="4"/>
  <c r="I43" i="4"/>
  <c r="W70" i="4" s="1"/>
  <c r="J52" i="4"/>
  <c r="X79" i="4" s="1"/>
  <c r="BA51" i="4"/>
  <c r="X84" i="4"/>
  <c r="BA56" i="4"/>
  <c r="J50" i="4"/>
  <c r="X77" i="4" s="1"/>
  <c r="BA49" i="4"/>
  <c r="J40" i="4"/>
  <c r="X67" i="4" s="1"/>
  <c r="BA39" i="4"/>
  <c r="J42" i="4"/>
  <c r="X69" i="4" s="1"/>
  <c r="BA41" i="4"/>
  <c r="J55" i="4"/>
  <c r="X82" i="4" s="1"/>
  <c r="BA54" i="4"/>
  <c r="J56" i="4"/>
  <c r="X83" i="4" s="1"/>
  <c r="BA55" i="4"/>
  <c r="K48" i="4"/>
  <c r="Y75" i="4" s="1"/>
  <c r="BB47" i="4"/>
  <c r="J38" i="4"/>
  <c r="X65" i="4" s="1"/>
  <c r="BA37" i="4"/>
  <c r="J45" i="4"/>
  <c r="X72" i="4" s="1"/>
  <c r="BA44" i="4"/>
  <c r="J37" i="4"/>
  <c r="X64" i="4" s="1"/>
  <c r="BA36" i="4"/>
  <c r="J58" i="4"/>
  <c r="X85" i="4" s="1"/>
  <c r="BA57" i="4"/>
  <c r="J39" i="4"/>
  <c r="X66" i="4" s="1"/>
  <c r="BA38" i="4"/>
  <c r="K44" i="4"/>
  <c r="Y71" i="4" s="1"/>
  <c r="BB43" i="4"/>
  <c r="J49" i="4"/>
  <c r="X76" i="4" s="1"/>
  <c r="BA48" i="4"/>
  <c r="K53" i="4"/>
  <c r="Y80" i="4" s="1"/>
  <c r="BB52" i="4"/>
  <c r="BA34" i="4"/>
  <c r="J35" i="4"/>
  <c r="X62" i="4" s="1"/>
  <c r="DD20" i="3"/>
  <c r="L18" i="4"/>
  <c r="AC18" i="4" s="1"/>
  <c r="L11" i="4"/>
  <c r="AC11" i="4" s="1"/>
  <c r="DD13" i="3"/>
  <c r="DP19" i="3"/>
  <c r="M17" i="4"/>
  <c r="AD17" i="4" s="1"/>
  <c r="BC47" i="4" s="1"/>
  <c r="L14" i="4"/>
  <c r="AC14" i="4" s="1"/>
  <c r="DD16" i="3"/>
  <c r="L7" i="4"/>
  <c r="AC7" i="4" s="1"/>
  <c r="DD9" i="3"/>
  <c r="J51" i="4"/>
  <c r="X78" i="4" s="1"/>
  <c r="J47" i="4"/>
  <c r="X74" i="4" s="1"/>
  <c r="J54" i="4"/>
  <c r="X81" i="4" s="1"/>
  <c r="L9" i="4"/>
  <c r="AC9" i="4" s="1"/>
  <c r="DD11" i="3"/>
  <c r="L6" i="4"/>
  <c r="AC6" i="4" s="1"/>
  <c r="DD8" i="3"/>
  <c r="L21" i="4"/>
  <c r="AC21" i="4" s="1"/>
  <c r="DD23" i="3"/>
  <c r="L27" i="4"/>
  <c r="AC27" i="4" s="1"/>
  <c r="BB57" i="4" s="1"/>
  <c r="DD29" i="3"/>
  <c r="J36" i="4"/>
  <c r="X63" i="4" s="1"/>
  <c r="M13" i="4"/>
  <c r="AD13" i="4" s="1"/>
  <c r="DP15" i="3"/>
  <c r="L25" i="4"/>
  <c r="AC25" i="4" s="1"/>
  <c r="BB55" i="4" s="1"/>
  <c r="DD27" i="3"/>
  <c r="L8" i="4"/>
  <c r="AC8" i="4" s="1"/>
  <c r="DD10" i="3"/>
  <c r="L24" i="4"/>
  <c r="AC24" i="4" s="1"/>
  <c r="DD26" i="3"/>
  <c r="L19" i="4"/>
  <c r="AC19" i="4" s="1"/>
  <c r="DD21" i="3"/>
  <c r="L10" i="4"/>
  <c r="AC10" i="4" s="1"/>
  <c r="DD12" i="3"/>
  <c r="L28" i="4"/>
  <c r="AC28" i="4" s="1"/>
  <c r="BB58" i="4" s="1"/>
  <c r="DD30" i="3"/>
  <c r="L26" i="4"/>
  <c r="AC26" i="4" s="1"/>
  <c r="DD28" i="3"/>
  <c r="L5" i="4"/>
  <c r="AC5" i="4" s="1"/>
  <c r="DD7" i="3"/>
  <c r="L4" i="4"/>
  <c r="AC4" i="4" s="1"/>
  <c r="BB34" i="4" s="1"/>
  <c r="DD6" i="3"/>
  <c r="L20" i="4"/>
  <c r="AC20" i="4" s="1"/>
  <c r="DD22" i="3"/>
  <c r="L16" i="4"/>
  <c r="AC16" i="4" s="1"/>
  <c r="DD18" i="3"/>
  <c r="M22" i="4"/>
  <c r="AD22" i="4" s="1"/>
  <c r="DP24" i="3"/>
  <c r="L23" i="4"/>
  <c r="AC23" i="4" s="1"/>
  <c r="DD25" i="3"/>
  <c r="J41" i="4"/>
  <c r="X68" i="4" s="1"/>
  <c r="BB56" i="4" l="1"/>
  <c r="K57" i="4"/>
  <c r="Y84" i="4" s="1"/>
  <c r="BC45" i="4"/>
  <c r="DP17" i="3"/>
  <c r="DD14" i="3"/>
  <c r="L12" i="4"/>
  <c r="AC12" i="4" s="1"/>
  <c r="BA42" i="4"/>
  <c r="J43" i="4"/>
  <c r="X70" i="4" s="1"/>
  <c r="K52" i="4"/>
  <c r="Y79" i="4" s="1"/>
  <c r="BB51" i="4"/>
  <c r="K37" i="4"/>
  <c r="Y64" i="4" s="1"/>
  <c r="BB36" i="4"/>
  <c r="K45" i="4"/>
  <c r="Y72" i="4" s="1"/>
  <c r="BB44" i="4"/>
  <c r="K55" i="4"/>
  <c r="Y82" i="4" s="1"/>
  <c r="BB54" i="4"/>
  <c r="K36" i="4"/>
  <c r="Y63" i="4" s="1"/>
  <c r="BB35" i="4"/>
  <c r="K40" i="4"/>
  <c r="Y67" i="4" s="1"/>
  <c r="BB39" i="4"/>
  <c r="L44" i="4"/>
  <c r="Z71" i="4" s="1"/>
  <c r="BC43" i="4"/>
  <c r="K42" i="4"/>
  <c r="Y69" i="4" s="1"/>
  <c r="BB41" i="4"/>
  <c r="K49" i="4"/>
  <c r="Y76" i="4" s="1"/>
  <c r="BB48" i="4"/>
  <c r="L53" i="4"/>
  <c r="Z80" i="4" s="1"/>
  <c r="BC52" i="4"/>
  <c r="K41" i="4"/>
  <c r="Y68" i="4" s="1"/>
  <c r="BB40" i="4"/>
  <c r="K38" i="4"/>
  <c r="Y65" i="4" s="1"/>
  <c r="BB37" i="4"/>
  <c r="K39" i="4"/>
  <c r="Y66" i="4" s="1"/>
  <c r="BB38" i="4"/>
  <c r="K54" i="4"/>
  <c r="Y81" i="4" s="1"/>
  <c r="BB53" i="4"/>
  <c r="K47" i="4"/>
  <c r="Y74" i="4" s="1"/>
  <c r="BB46" i="4"/>
  <c r="K51" i="4"/>
  <c r="Y78" i="4" s="1"/>
  <c r="BB50" i="4"/>
  <c r="K50" i="4"/>
  <c r="Y77" i="4" s="1"/>
  <c r="BB49" i="4"/>
  <c r="M18" i="4"/>
  <c r="AD18" i="4" s="1"/>
  <c r="DP20" i="3"/>
  <c r="M14" i="4"/>
  <c r="AD14" i="4" s="1"/>
  <c r="DP16" i="3"/>
  <c r="L48" i="4"/>
  <c r="Z75" i="4" s="1"/>
  <c r="N17" i="4"/>
  <c r="AE17" i="4" s="1"/>
  <c r="ED19" i="3"/>
  <c r="O17" i="4" s="1"/>
  <c r="AF17" i="4" s="1"/>
  <c r="M11" i="4"/>
  <c r="AD11" i="4" s="1"/>
  <c r="DP13" i="3"/>
  <c r="M28" i="4"/>
  <c r="AD28" i="4" s="1"/>
  <c r="DP30" i="3"/>
  <c r="M8" i="4"/>
  <c r="AD8" i="4" s="1"/>
  <c r="DP10" i="3"/>
  <c r="M27" i="4"/>
  <c r="AD27" i="4" s="1"/>
  <c r="DP29" i="3"/>
  <c r="K59" i="4"/>
  <c r="Y86" i="4" s="1"/>
  <c r="K58" i="4"/>
  <c r="Y85" i="4" s="1"/>
  <c r="M23" i="4"/>
  <c r="AD23" i="4" s="1"/>
  <c r="DP25" i="3"/>
  <c r="M16" i="4"/>
  <c r="AD16" i="4" s="1"/>
  <c r="DP18" i="3"/>
  <c r="M4" i="4"/>
  <c r="AD4" i="4" s="1"/>
  <c r="DP6" i="3"/>
  <c r="M26" i="4"/>
  <c r="AD26" i="4" s="1"/>
  <c r="L57" i="4" s="1"/>
  <c r="DP28" i="3"/>
  <c r="M10" i="4"/>
  <c r="AD10" i="4" s="1"/>
  <c r="DP12" i="3"/>
  <c r="M24" i="4"/>
  <c r="AD24" i="4" s="1"/>
  <c r="DP26" i="3"/>
  <c r="M25" i="4"/>
  <c r="AD25" i="4" s="1"/>
  <c r="DP27" i="3"/>
  <c r="M6" i="4"/>
  <c r="AD6" i="4" s="1"/>
  <c r="DP8" i="3"/>
  <c r="M7" i="4"/>
  <c r="AD7" i="4" s="1"/>
  <c r="DP9" i="3"/>
  <c r="N22" i="4"/>
  <c r="AE22" i="4" s="1"/>
  <c r="BD52" i="4" s="1"/>
  <c r="ED24" i="3"/>
  <c r="O22" i="4" s="1"/>
  <c r="AF22" i="4" s="1"/>
  <c r="M20" i="4"/>
  <c r="AD20" i="4" s="1"/>
  <c r="DP22" i="3"/>
  <c r="M5" i="4"/>
  <c r="AD5" i="4" s="1"/>
  <c r="DP7" i="3"/>
  <c r="M19" i="4"/>
  <c r="AD19" i="4" s="1"/>
  <c r="DP21" i="3"/>
  <c r="N13" i="4"/>
  <c r="AE13" i="4" s="1"/>
  <c r="BD43" i="4" s="1"/>
  <c r="ED15" i="3"/>
  <c r="O13" i="4" s="1"/>
  <c r="AF13" i="4" s="1"/>
  <c r="M21" i="4"/>
  <c r="AD21" i="4" s="1"/>
  <c r="DP23" i="3"/>
  <c r="M9" i="4"/>
  <c r="AD9" i="4" s="1"/>
  <c r="DP11" i="3"/>
  <c r="K35" i="4"/>
  <c r="Y62" i="4" s="1"/>
  <c r="K56" i="4"/>
  <c r="Y83" i="4" s="1"/>
  <c r="BE47" i="4" l="1"/>
  <c r="N48" i="4"/>
  <c r="AB75" i="4" s="1"/>
  <c r="ED17" i="3"/>
  <c r="O15" i="4" s="1"/>
  <c r="AF15" i="4" s="1"/>
  <c r="N15" i="4"/>
  <c r="AE15" i="4" s="1"/>
  <c r="BB42" i="4"/>
  <c r="K43" i="4"/>
  <c r="Y70" i="4" s="1"/>
  <c r="M12" i="4"/>
  <c r="AD12" i="4" s="1"/>
  <c r="DP14" i="3"/>
  <c r="L35" i="4"/>
  <c r="Z62" i="4" s="1"/>
  <c r="BC34" i="4"/>
  <c r="L59" i="4"/>
  <c r="Z86" i="4" s="1"/>
  <c r="BC58" i="4"/>
  <c r="L50" i="4"/>
  <c r="Z77" i="4" s="1"/>
  <c r="BC49" i="4"/>
  <c r="L37" i="4"/>
  <c r="Z64" i="4" s="1"/>
  <c r="BC36" i="4"/>
  <c r="L47" i="4"/>
  <c r="Z74" i="4" s="1"/>
  <c r="BC46" i="4"/>
  <c r="L42" i="4"/>
  <c r="Z69" i="4" s="1"/>
  <c r="BC41" i="4"/>
  <c r="L36" i="4"/>
  <c r="Z63" i="4" s="1"/>
  <c r="BC35" i="4"/>
  <c r="L56" i="4"/>
  <c r="Z83" i="4" s="1"/>
  <c r="BC55" i="4"/>
  <c r="L54" i="4"/>
  <c r="Z81" i="4" s="1"/>
  <c r="BC53" i="4"/>
  <c r="M48" i="4"/>
  <c r="AA75" i="4" s="1"/>
  <c r="BD47" i="4"/>
  <c r="L51" i="4"/>
  <c r="Z78" i="4" s="1"/>
  <c r="BC50" i="4"/>
  <c r="L55" i="4"/>
  <c r="Z82" i="4" s="1"/>
  <c r="BC54" i="4"/>
  <c r="L41" i="4"/>
  <c r="Z68" i="4" s="1"/>
  <c r="BC40" i="4"/>
  <c r="L58" i="4"/>
  <c r="Z85" i="4" s="1"/>
  <c r="BC57" i="4"/>
  <c r="D71" i="4"/>
  <c r="BE43" i="4"/>
  <c r="L45" i="4"/>
  <c r="Z72" i="4" s="1"/>
  <c r="BC44" i="4"/>
  <c r="L49" i="4"/>
  <c r="Z76" i="4" s="1"/>
  <c r="BC48" i="4"/>
  <c r="D80" i="4"/>
  <c r="BE52" i="4"/>
  <c r="L40" i="4"/>
  <c r="Z67" i="4" s="1"/>
  <c r="BC39" i="4"/>
  <c r="L52" i="4"/>
  <c r="Z79" i="4" s="1"/>
  <c r="BC51" i="4"/>
  <c r="L38" i="4"/>
  <c r="Z65" i="4" s="1"/>
  <c r="BC37" i="4"/>
  <c r="Z84" i="4"/>
  <c r="BC56" i="4"/>
  <c r="L39" i="4"/>
  <c r="Z66" i="4" s="1"/>
  <c r="BC38" i="4"/>
  <c r="N18" i="4"/>
  <c r="AE18" i="4" s="1"/>
  <c r="ED20" i="3"/>
  <c r="O18" i="4" s="1"/>
  <c r="AF18" i="4" s="1"/>
  <c r="BE48" i="4" s="1"/>
  <c r="ED13" i="3"/>
  <c r="O11" i="4" s="1"/>
  <c r="AF11" i="4" s="1"/>
  <c r="BE41" i="4" s="1"/>
  <c r="N11" i="4"/>
  <c r="AE11" i="4" s="1"/>
  <c r="BD41" i="4" s="1"/>
  <c r="D75" i="4"/>
  <c r="AM48" i="4"/>
  <c r="AH48" i="4"/>
  <c r="N14" i="4"/>
  <c r="AE14" i="4" s="1"/>
  <c r="BD44" i="4" s="1"/>
  <c r="ED16" i="3"/>
  <c r="O14" i="4" s="1"/>
  <c r="AF14" i="4" s="1"/>
  <c r="BE44" i="4" s="1"/>
  <c r="N24" i="4"/>
  <c r="AE24" i="4" s="1"/>
  <c r="BD54" i="4" s="1"/>
  <c r="ED26" i="3"/>
  <c r="O24" i="4" s="1"/>
  <c r="AF24" i="4" s="1"/>
  <c r="N4" i="4"/>
  <c r="AE4" i="4" s="1"/>
  <c r="BD34" i="4" s="1"/>
  <c r="O4" i="4"/>
  <c r="AF4" i="4" s="1"/>
  <c r="N8" i="4"/>
  <c r="AE8" i="4" s="1"/>
  <c r="BD38" i="4" s="1"/>
  <c r="ED10" i="3"/>
  <c r="O8" i="4" s="1"/>
  <c r="AF8" i="4" s="1"/>
  <c r="N26" i="4"/>
  <c r="AE26" i="4" s="1"/>
  <c r="ED28" i="3"/>
  <c r="O26" i="4" s="1"/>
  <c r="AF26" i="4" s="1"/>
  <c r="N57" i="4" s="1"/>
  <c r="N23" i="4"/>
  <c r="AE23" i="4" s="1"/>
  <c r="BD53" i="4" s="1"/>
  <c r="ED25" i="3"/>
  <c r="O23" i="4" s="1"/>
  <c r="AF23" i="4" s="1"/>
  <c r="AM44" i="4"/>
  <c r="N44" i="4"/>
  <c r="AB71" i="4" s="1"/>
  <c r="N5" i="4"/>
  <c r="AE5" i="4" s="1"/>
  <c r="BD35" i="4" s="1"/>
  <c r="ED7" i="3"/>
  <c r="O5" i="4" s="1"/>
  <c r="AF5" i="4" s="1"/>
  <c r="N53" i="4"/>
  <c r="AB80" i="4" s="1"/>
  <c r="AM53" i="4"/>
  <c r="N6" i="4"/>
  <c r="AE6" i="4" s="1"/>
  <c r="BD36" i="4" s="1"/>
  <c r="ED8" i="3"/>
  <c r="O6" i="4" s="1"/>
  <c r="AF6" i="4" s="1"/>
  <c r="M44" i="4"/>
  <c r="AA71" i="4" s="1"/>
  <c r="AH44" i="4"/>
  <c r="M53" i="4"/>
  <c r="AA80" i="4" s="1"/>
  <c r="AH53" i="4"/>
  <c r="N25" i="4"/>
  <c r="AE25" i="4" s="1"/>
  <c r="BD55" i="4" s="1"/>
  <c r="ED27" i="3"/>
  <c r="O25" i="4" s="1"/>
  <c r="AF25" i="4" s="1"/>
  <c r="N10" i="4"/>
  <c r="AE10" i="4" s="1"/>
  <c r="BD40" i="4" s="1"/>
  <c r="ED12" i="3"/>
  <c r="O10" i="4" s="1"/>
  <c r="AF10" i="4" s="1"/>
  <c r="N16" i="4"/>
  <c r="AE16" i="4" s="1"/>
  <c r="BD46" i="4" s="1"/>
  <c r="ED18" i="3"/>
  <c r="O16" i="4" s="1"/>
  <c r="AF16" i="4" s="1"/>
  <c r="N27" i="4"/>
  <c r="AE27" i="4" s="1"/>
  <c r="BD57" i="4" s="1"/>
  <c r="ED29" i="3"/>
  <c r="O27" i="4" s="1"/>
  <c r="AF27" i="4" s="1"/>
  <c r="N28" i="4"/>
  <c r="AE28" i="4" s="1"/>
  <c r="BD58" i="4" s="1"/>
  <c r="ED30" i="3"/>
  <c r="O28" i="4" s="1"/>
  <c r="AF28" i="4" s="1"/>
  <c r="N9" i="4"/>
  <c r="AE9" i="4" s="1"/>
  <c r="BD39" i="4" s="1"/>
  <c r="ED11" i="3"/>
  <c r="O9" i="4" s="1"/>
  <c r="AF9" i="4" s="1"/>
  <c r="N21" i="4"/>
  <c r="AE21" i="4" s="1"/>
  <c r="BD51" i="4" s="1"/>
  <c r="ED23" i="3"/>
  <c r="O21" i="4" s="1"/>
  <c r="AF21" i="4" s="1"/>
  <c r="N19" i="4"/>
  <c r="AE19" i="4" s="1"/>
  <c r="BD49" i="4" s="1"/>
  <c r="ED21" i="3"/>
  <c r="O19" i="4" s="1"/>
  <c r="AF19" i="4" s="1"/>
  <c r="N20" i="4"/>
  <c r="AE20" i="4" s="1"/>
  <c r="BD50" i="4" s="1"/>
  <c r="ED22" i="3"/>
  <c r="O20" i="4" s="1"/>
  <c r="AF20" i="4" s="1"/>
  <c r="N7" i="4"/>
  <c r="AE7" i="4" s="1"/>
  <c r="BD37" i="4" s="1"/>
  <c r="ED9" i="3"/>
  <c r="O7" i="4" s="1"/>
  <c r="AF7" i="4" s="1"/>
  <c r="BD56" i="4" l="1"/>
  <c r="M57" i="4"/>
  <c r="AA84" i="4" s="1"/>
  <c r="BD45" i="4"/>
  <c r="AH46" i="4"/>
  <c r="M46" i="4"/>
  <c r="AA73" i="4" s="1"/>
  <c r="D73" i="4"/>
  <c r="BE45" i="4"/>
  <c r="AM46" i="4"/>
  <c r="N46" i="4"/>
  <c r="AB73" i="4" s="1"/>
  <c r="N12" i="4"/>
  <c r="AE12" i="4" s="1"/>
  <c r="ED14" i="3"/>
  <c r="O12" i="4" s="1"/>
  <c r="AF12" i="4" s="1"/>
  <c r="L43" i="4"/>
  <c r="Z70" i="4" s="1"/>
  <c r="BC42" i="4"/>
  <c r="D68" i="4"/>
  <c r="BE40" i="4"/>
  <c r="D63" i="4"/>
  <c r="BE35" i="4"/>
  <c r="D82" i="4"/>
  <c r="BE54" i="4"/>
  <c r="D67" i="4"/>
  <c r="BE39" i="4"/>
  <c r="D83" i="4"/>
  <c r="BE55" i="4"/>
  <c r="D65" i="4"/>
  <c r="BE37" i="4"/>
  <c r="D81" i="4"/>
  <c r="BE53" i="4"/>
  <c r="D77" i="4"/>
  <c r="BE49" i="4"/>
  <c r="M49" i="4"/>
  <c r="AA76" i="4" s="1"/>
  <c r="BD48" i="4"/>
  <c r="D78" i="4"/>
  <c r="BE50" i="4"/>
  <c r="D86" i="4"/>
  <c r="BE58" i="4"/>
  <c r="D84" i="4"/>
  <c r="BE56" i="4"/>
  <c r="D85" i="4"/>
  <c r="BE57" i="4"/>
  <c r="D66" i="4"/>
  <c r="BE38" i="4"/>
  <c r="D64" i="4"/>
  <c r="BE36" i="4"/>
  <c r="D79" i="4"/>
  <c r="BE51" i="4"/>
  <c r="D74" i="4"/>
  <c r="BE46" i="4"/>
  <c r="D62" i="4"/>
  <c r="BE34" i="4"/>
  <c r="D76" i="4"/>
  <c r="N49" i="4"/>
  <c r="AB76" i="4" s="1"/>
  <c r="AM49" i="4"/>
  <c r="AH49" i="4"/>
  <c r="D72" i="4"/>
  <c r="AM45" i="4"/>
  <c r="N45" i="4"/>
  <c r="AB72" i="4" s="1"/>
  <c r="AH45" i="4"/>
  <c r="M45" i="4"/>
  <c r="AA72" i="4" s="1"/>
  <c r="M42" i="4"/>
  <c r="AA69" i="4" s="1"/>
  <c r="AH42" i="4"/>
  <c r="D69" i="4"/>
  <c r="N42" i="4"/>
  <c r="AB69" i="4" s="1"/>
  <c r="AM42" i="4"/>
  <c r="AM51" i="4"/>
  <c r="N51" i="4"/>
  <c r="AB78" i="4" s="1"/>
  <c r="N40" i="4"/>
  <c r="AB67" i="4" s="1"/>
  <c r="AM40" i="4"/>
  <c r="N47" i="4"/>
  <c r="AB74" i="4" s="1"/>
  <c r="AM47" i="4"/>
  <c r="N35" i="4"/>
  <c r="AB62" i="4" s="1"/>
  <c r="AM35" i="4"/>
  <c r="M52" i="4"/>
  <c r="AA79" i="4" s="1"/>
  <c r="AH52" i="4"/>
  <c r="AM50" i="4"/>
  <c r="N50" i="4"/>
  <c r="AB77" i="4" s="1"/>
  <c r="AM41" i="4"/>
  <c r="N41" i="4"/>
  <c r="AB68" i="4" s="1"/>
  <c r="AM37" i="4"/>
  <c r="N37" i="4"/>
  <c r="AB64" i="4" s="1"/>
  <c r="N36" i="4"/>
  <c r="AB63" i="4" s="1"/>
  <c r="AM36" i="4"/>
  <c r="AM54" i="4"/>
  <c r="N54" i="4"/>
  <c r="AB81" i="4" s="1"/>
  <c r="AM39" i="4"/>
  <c r="N39" i="4"/>
  <c r="AB66" i="4" s="1"/>
  <c r="AM55" i="4"/>
  <c r="N55" i="4"/>
  <c r="AB82" i="4" s="1"/>
  <c r="AM52" i="4"/>
  <c r="N52" i="4"/>
  <c r="AB79" i="4" s="1"/>
  <c r="N59" i="4"/>
  <c r="AB86" i="4" s="1"/>
  <c r="AM59" i="4"/>
  <c r="AM56" i="4"/>
  <c r="N56" i="4"/>
  <c r="AB83" i="4" s="1"/>
  <c r="AB84" i="4"/>
  <c r="AM57" i="4"/>
  <c r="M51" i="4"/>
  <c r="AA78" i="4" s="1"/>
  <c r="AH51" i="4"/>
  <c r="M40" i="4"/>
  <c r="AA67" i="4" s="1"/>
  <c r="AH40" i="4"/>
  <c r="M59" i="4"/>
  <c r="AA86" i="4" s="1"/>
  <c r="AH59" i="4"/>
  <c r="M47" i="4"/>
  <c r="AA74" i="4" s="1"/>
  <c r="AH47" i="4"/>
  <c r="M56" i="4"/>
  <c r="AA83" i="4" s="1"/>
  <c r="AH56" i="4"/>
  <c r="AH57" i="4"/>
  <c r="M35" i="4"/>
  <c r="AA62" i="4" s="1"/>
  <c r="AH35" i="4"/>
  <c r="N38" i="4"/>
  <c r="AB65" i="4" s="1"/>
  <c r="AM38" i="4"/>
  <c r="N58" i="4"/>
  <c r="AB85" i="4" s="1"/>
  <c r="AM58" i="4"/>
  <c r="M38" i="4"/>
  <c r="AA65" i="4" s="1"/>
  <c r="AH38" i="4"/>
  <c r="M50" i="4"/>
  <c r="AA77" i="4" s="1"/>
  <c r="AH50" i="4"/>
  <c r="M58" i="4"/>
  <c r="AA85" i="4" s="1"/>
  <c r="AH58" i="4"/>
  <c r="M41" i="4"/>
  <c r="AA68" i="4" s="1"/>
  <c r="AH41" i="4"/>
  <c r="M37" i="4"/>
  <c r="AA64" i="4" s="1"/>
  <c r="AH37" i="4"/>
  <c r="M36" i="4"/>
  <c r="AA63" i="4" s="1"/>
  <c r="AH36" i="4"/>
  <c r="M54" i="4"/>
  <c r="AA81" i="4" s="1"/>
  <c r="AH54" i="4"/>
  <c r="M39" i="4"/>
  <c r="AA66" i="4" s="1"/>
  <c r="AH39" i="4"/>
  <c r="M55" i="4"/>
  <c r="AA82" i="4" s="1"/>
  <c r="AH55" i="4"/>
  <c r="D70" i="4" l="1"/>
  <c r="BE42" i="4"/>
  <c r="N43" i="4"/>
  <c r="AB70" i="4" s="1"/>
  <c r="AM43" i="4"/>
  <c r="BD42" i="4"/>
  <c r="M43" i="4"/>
  <c r="AA70" i="4" s="1"/>
  <c r="AH43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SUBJECT</author>
  </authors>
  <commentList>
    <comment ref="R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UNTUK PENGGUNA SHEER:
</t>
        </r>
        <r>
          <rPr>
            <sz val="9"/>
            <color indexed="81"/>
            <rFont val="Tahoma"/>
            <family val="2"/>
          </rPr>
          <t>WL terakhir sebelum simpson sampai sheer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X5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Jarak Transom ke ST A</t>
        </r>
      </text>
    </comment>
    <comment ref="X7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Jarak ST A ke ST AP</t>
        </r>
      </text>
    </comment>
    <comment ref="Z1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Lwl sarat</t>
        </r>
      </text>
    </comment>
    <comment ref="Z12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Massa jenis air laut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SUBJECT</author>
  </authors>
  <commentList>
    <comment ref="I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U2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G2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S2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E2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BQ2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C2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O2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A2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M2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K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V3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W3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AH3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AI3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AT3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AU3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F3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BG3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R3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BS3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CD3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CE3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CP3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CQ3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DB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DC3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DN3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DO3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EB3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EC3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ASUS</author>
    <author>SUBJECT</author>
    <author>Lab Komp</author>
    <author>Dhaniel</author>
  </authors>
  <commentList>
    <comment ref="D2" authorId="0" shapeId="0" xr:uid="{FF02650F-D523-489F-BF2B-EA7C93CF776E}">
      <text>
        <r>
          <rPr>
            <b/>
            <sz val="9"/>
            <color indexed="81"/>
            <rFont val="Tahoma"/>
            <family val="2"/>
          </rPr>
          <t>T Kapal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" authorId="1" shapeId="0" xr:uid="{2D3BDC91-9903-424A-BC55-CC3E394D17D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" authorId="1" shapeId="0" xr:uid="{525139C5-D65B-4B02-AD79-2C533ECFCE08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M3" authorId="1" shapeId="0" xr:uid="{E31EE593-53CD-4AD7-A239-6090A99C1FE7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7" authorId="1" shapeId="0" xr:uid="{06948D0E-C48F-4B4B-899F-54406E8A4BDC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  <comment ref="D11" authorId="0" shapeId="0" xr:uid="{20B06777-8783-4B30-B38A-3157AF7326D5}">
      <text>
        <r>
          <rPr>
            <b/>
            <sz val="9"/>
            <color indexed="81"/>
            <rFont val="Tahoma"/>
            <family val="2"/>
          </rPr>
          <t>T Kapal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1" shapeId="0" xr:uid="{98BF4062-3D5D-4608-A19E-A9615100C6AE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2" authorId="1" shapeId="0" xr:uid="{A94B3286-A254-4BB1-8027-F1F0C0CDEB22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M12" authorId="1" shapeId="0" xr:uid="{12DDF678-A7AF-46B0-BD2D-894C138AF721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16" authorId="1" shapeId="0" xr:uid="{EBF1DF9C-D134-4D54-B568-08889934B15A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  <comment ref="D20" authorId="0" shapeId="0" xr:uid="{038BF9CE-2DFB-439F-A1B2-07F91D13AA72}">
      <text>
        <r>
          <rPr>
            <b/>
            <sz val="9"/>
            <color indexed="81"/>
            <rFont val="Tahoma"/>
            <family val="2"/>
          </rPr>
          <t>T Kapal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0" authorId="1" shapeId="0" xr:uid="{AE62064A-CC84-4B25-8208-0B9F18BA9D99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21" authorId="1" shapeId="0" xr:uid="{DD93AD45-7643-4C96-BB8A-50117234D66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M21" authorId="1" shapeId="0" xr:uid="{080C54B0-C811-426F-A115-63A7694DAE0C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25" authorId="1" shapeId="0" xr:uid="{EF955A35-9692-42B8-B5A3-CE7337F223A1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  <comment ref="D29" authorId="0" shapeId="0" xr:uid="{1A7F2FB0-9725-4DDA-976E-8927FECA499F}">
      <text>
        <r>
          <rPr>
            <b/>
            <sz val="9"/>
            <color indexed="81"/>
            <rFont val="Tahoma"/>
            <family val="2"/>
          </rPr>
          <t>T Kapal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29" authorId="1" shapeId="0" xr:uid="{00000000-0006-0000-0300-000001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0" authorId="1" shapeId="0" xr:uid="{00000000-0006-0000-0300-000002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M30" authorId="1" shapeId="0" xr:uid="{00000000-0006-0000-0300-000003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34" authorId="1" shapeId="0" xr:uid="{00000000-0006-0000-0300-000004000000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  <comment ref="G38" authorId="0" shapeId="0" xr:uid="{5B9C6D20-FA0F-4278-989C-4371187BCC91}">
      <text>
        <r>
          <rPr>
            <b/>
            <sz val="9"/>
            <color indexed="81"/>
            <rFont val="Tahoma"/>
            <family val="2"/>
          </rPr>
          <t>H Kapal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38" authorId="1" shapeId="0" xr:uid="{00000000-0006-0000-0300-000005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39" authorId="1" shapeId="0" xr:uid="{00000000-0006-0000-0300-000006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M39" authorId="1" shapeId="0" xr:uid="{00000000-0006-0000-0300-000007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43" authorId="1" shapeId="0" xr:uid="{00000000-0006-0000-0300-000008000000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  <comment ref="G47" authorId="0" shapeId="0" xr:uid="{C90B694F-BCA2-4FD7-81C3-598A2B020F7B}">
      <text>
        <r>
          <rPr>
            <b/>
            <sz val="9"/>
            <color indexed="81"/>
            <rFont val="Tahoma"/>
            <family val="2"/>
          </rPr>
          <t>Sheer (kalo ada)</t>
        </r>
      </text>
    </comment>
    <comment ref="J47" authorId="1" shapeId="0" xr:uid="{00000000-0006-0000-0300-000009000000}">
      <text>
        <r>
          <rPr>
            <b/>
            <sz val="9"/>
            <color indexed="81"/>
            <rFont val="Tahoma"/>
            <family val="2"/>
          </rPr>
          <t>Jarak antar WL lokal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F48" authorId="0" shapeId="0" xr:uid="{431EBF42-FBF1-46D9-9DBD-41EFCFFA12B8}">
      <text>
        <r>
          <rPr>
            <b/>
            <sz val="9"/>
            <color indexed="81"/>
            <rFont val="Tahoma"/>
            <family val="2"/>
          </rPr>
          <t>WL di tengah H dan Sheer</t>
        </r>
      </text>
    </comment>
    <comment ref="L48" authorId="1" shapeId="0" xr:uid="{00000000-0006-0000-0300-00000A000000}">
      <text>
        <r>
          <rPr>
            <b/>
            <sz val="9"/>
            <color indexed="81"/>
            <rFont val="Tahoma"/>
            <family val="2"/>
          </rPr>
          <t>Function of areas</t>
        </r>
      </text>
    </comment>
    <comment ref="M48" authorId="2" shapeId="0" xr:uid="{00000000-0006-0000-0300-00000B000000}">
      <text>
        <r>
          <rPr>
            <sz val="9"/>
            <color indexed="81"/>
            <rFont val="Tahoma"/>
            <family val="2"/>
          </rPr>
          <t xml:space="preserve">(Tinggi Sheer di ST-WL Terakhir)/2
</t>
        </r>
      </text>
    </comment>
    <comment ref="N48" authorId="1" shapeId="0" xr:uid="{00000000-0006-0000-0300-00000C000000}">
      <text>
        <r>
          <rPr>
            <b/>
            <sz val="9"/>
            <color indexed="81"/>
            <rFont val="Tahoma"/>
            <family val="2"/>
          </rPr>
          <t xml:space="preserve">Area of Station
</t>
        </r>
        <r>
          <rPr>
            <sz val="9"/>
            <color indexed="81"/>
            <rFont val="Tahoma"/>
            <family val="2"/>
          </rPr>
          <t xml:space="preserve">2 * 1/3 * h * ΣYS
</t>
        </r>
      </text>
    </comment>
    <comment ref="B52" authorId="1" shapeId="0" xr:uid="{00000000-0006-0000-0300-00000D000000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  <comment ref="D58" authorId="3" shapeId="0" xr:uid="{BA9CC2B7-AF8D-48CB-A658-ACE4E5D8AD9C}">
      <text>
        <r>
          <rPr>
            <b/>
            <sz val="9"/>
            <color indexed="81"/>
            <rFont val="Tahoma"/>
            <family val="2"/>
          </rPr>
          <t>Dhaniel:</t>
        </r>
        <r>
          <rPr>
            <sz val="9"/>
            <color indexed="81"/>
            <rFont val="Tahoma"/>
            <family val="2"/>
          </rPr>
          <t xml:space="preserve">
Jarak St terbawah dengan Baseline</t>
        </r>
      </text>
    </comment>
    <comment ref="B61" authorId="1" shapeId="0" xr:uid="{00000000-0006-0000-0300-00000E000000}">
      <text>
        <r>
          <rPr>
            <b/>
            <sz val="9"/>
            <color indexed="81"/>
            <rFont val="Tahoma"/>
            <family val="2"/>
          </rPr>
          <t>Station bantu antara Transom dan AP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SUBJECT</author>
    <author>ASUS</author>
  </authors>
  <commentList>
    <comment ref="R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Tinggi 1 m WL dalam cm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C3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Jarak antara ujung bawah ST dengan Baseline
(contoh: ST yang menyentuh Baseline y0 = 0)</t>
        </r>
      </text>
    </comment>
    <comment ref="R3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Jarak 1 ST dalam cm</t>
        </r>
      </text>
    </comment>
    <comment ref="Q4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Skala Luas
untuk 1:x tulis
"=1/x"</t>
        </r>
      </text>
    </comment>
    <comment ref="Q35" authorId="1" shapeId="0" xr:uid="{53C7CB20-FE36-492E-83B5-8F227D17591D}">
      <text>
        <r>
          <rPr>
            <b/>
            <sz val="9"/>
            <color indexed="81"/>
            <rFont val="Tahoma"/>
            <family val="2"/>
          </rPr>
          <t>Ini line harusnya, pake SPL supaya bisa langsung di draw</t>
        </r>
      </text>
    </comment>
  </commentList>
</comments>
</file>

<file path=xl/sharedStrings.xml><?xml version="1.0" encoding="utf-8"?>
<sst xmlns="http://schemas.openxmlformats.org/spreadsheetml/2006/main" count="761" uniqueCount="124">
  <si>
    <t>TABLE ORDINATE OF HALF BREADTH</t>
  </si>
  <si>
    <t>Principal Dimensions</t>
  </si>
  <si>
    <t>NO STATION</t>
  </si>
  <si>
    <t>HALF BREADTH (m)</t>
  </si>
  <si>
    <t>Type</t>
  </si>
  <si>
    <t>WL</t>
  </si>
  <si>
    <t>Loa</t>
  </si>
  <si>
    <t>m</t>
  </si>
  <si>
    <t>Lpp</t>
  </si>
  <si>
    <t>Transom</t>
  </si>
  <si>
    <t>Tr - A</t>
  </si>
  <si>
    <t>B</t>
  </si>
  <si>
    <t>A - AP</t>
  </si>
  <si>
    <t>H</t>
  </si>
  <si>
    <t>AP</t>
  </si>
  <si>
    <t>T</t>
  </si>
  <si>
    <t>Vs</t>
  </si>
  <si>
    <t>knot</t>
  </si>
  <si>
    <t>Lwl</t>
  </si>
  <si>
    <t>ρ</t>
  </si>
  <si>
    <t>ton/m^3</t>
  </si>
  <si>
    <t>FP</t>
  </si>
  <si>
    <t>Baseline</t>
  </si>
  <si>
    <t>m WL</t>
  </si>
  <si>
    <t>~</t>
  </si>
  <si>
    <t>YS</t>
  </si>
  <si>
    <t>Y</t>
  </si>
  <si>
    <t>ΣYS</t>
  </si>
  <si>
    <t>h =</t>
  </si>
  <si>
    <t>ST</t>
  </si>
  <si>
    <t>A</t>
  </si>
  <si>
    <t>X</t>
  </si>
  <si>
    <r>
      <t>A</t>
    </r>
    <r>
      <rPr>
        <b/>
        <vertAlign val="subscript"/>
        <sz val="10"/>
        <color theme="1"/>
        <rFont val="Calibri"/>
        <family val="2"/>
        <scheme val="minor"/>
      </rPr>
      <t>TOTAL</t>
    </r>
  </si>
  <si>
    <t>S =</t>
  </si>
  <si>
    <t>SKALA</t>
  </si>
  <si>
    <t>x</t>
  </si>
  <si>
    <t>y</t>
  </si>
  <si>
    <t>Zmax</t>
  </si>
  <si>
    <t>(Z-WL terakhir)/2+WL Terakhir</t>
  </si>
  <si>
    <t>Atot</t>
  </si>
  <si>
    <t>SPL</t>
  </si>
  <si>
    <t>Gausah copy yg warna tsb apabila tidak pake sheer</t>
  </si>
  <si>
    <t>PANDUAN</t>
  </si>
  <si>
    <t>Isi yang berwarna</t>
  </si>
  <si>
    <t>Untuk yg pake sheer, isi warna</t>
  </si>
  <si>
    <t>di sheet "Perhitungan Main Part". Yang ga pake sheer, gausah.</t>
  </si>
  <si>
    <t>Line</t>
  </si>
  <si>
    <t>Baca comment di cell yg ada comment nya</t>
  </si>
  <si>
    <t>DI bawah ini khusus buat yg ga pake sheer</t>
  </si>
  <si>
    <t>DI bawah ini khusus buat yg pake sheer</t>
  </si>
  <si>
    <t>Rumus AUTOCAD</t>
  </si>
  <si>
    <r>
      <t>y</t>
    </r>
    <r>
      <rPr>
        <b/>
        <vertAlign val="subscript"/>
        <sz val="10"/>
        <color theme="1"/>
        <rFont val="Calibri"/>
        <family val="2"/>
        <scheme val="minor"/>
      </rPr>
      <t>max</t>
    </r>
  </si>
  <si>
    <r>
      <t>y</t>
    </r>
    <r>
      <rPr>
        <b/>
        <vertAlign val="subscript"/>
        <sz val="11"/>
        <color theme="1"/>
        <rFont val="Calibri"/>
        <family val="2"/>
        <scheme val="minor"/>
      </rPr>
      <t>0</t>
    </r>
  </si>
  <si>
    <t>Skala</t>
  </si>
  <si>
    <t>1:</t>
  </si>
  <si>
    <t>Luas</t>
  </si>
  <si>
    <t>Z Max</t>
  </si>
  <si>
    <t>h</t>
  </si>
  <si>
    <t>H actual Zmax</t>
  </si>
  <si>
    <t>sheer</t>
  </si>
  <si>
    <t>Jangan mengganti jumlah WL</t>
  </si>
  <si>
    <t>Skala di Sketsa jangan lupa di sesuaikan sendiri</t>
  </si>
  <si>
    <t>no sheer</t>
  </si>
  <si>
    <t>with sheer</t>
  </si>
  <si>
    <t>Penutup Luas Area (With Sheer)</t>
  </si>
  <si>
    <t>Lengkungan Sheer</t>
  </si>
  <si>
    <r>
      <t>m</t>
    </r>
    <r>
      <rPr>
        <vertAlign val="superscript"/>
        <sz val="11"/>
        <color theme="1"/>
        <rFont val="Calibri"/>
        <family val="2"/>
        <scheme val="minor"/>
      </rPr>
      <t>2</t>
    </r>
  </si>
  <si>
    <t>batas akhir</t>
  </si>
  <si>
    <t>koordinat</t>
  </si>
  <si>
    <t>kolom</t>
  </si>
  <si>
    <t>kosong</t>
  </si>
  <si>
    <t>CARA PLOT SPLINE  (KHUSUS SPLINE)</t>
  </si>
  <si>
    <r>
      <rPr>
        <b/>
        <sz val="11"/>
        <color theme="1"/>
        <rFont val="Calibri"/>
        <family val="2"/>
        <scheme val="minor"/>
      </rPr>
      <t>A</t>
    </r>
    <r>
      <rPr>
        <b/>
        <vertAlign val="subscript"/>
        <sz val="11"/>
        <color theme="1"/>
        <rFont val="Calibri"/>
        <family val="2"/>
        <scheme val="minor"/>
      </rPr>
      <t>Total</t>
    </r>
  </si>
  <si>
    <t>KOORDINAT y (mm)</t>
  </si>
  <si>
    <t>aja (jgn malu menjadi pinky boy)</t>
  </si>
  <si>
    <t>PERHITUNGAN LUAS DARI H SAMPAI SHEER</t>
  </si>
  <si>
    <t>copy semua yg warna hijau + kuning diatas lgsg ke autocad (termasuk kolom kosong)</t>
  </si>
  <si>
    <t>General Cargo</t>
  </si>
  <si>
    <t xml:space="preserve">PO </t>
  </si>
  <si>
    <t>Ini ya lei yang ke acad,,, tinggal copas,,,, jan lupa decimal separator di excel diubah sesuaiin ama acad,, bisanya pake koma apa titik</t>
  </si>
  <si>
    <t>Plot acad dalam cm</t>
  </si>
  <si>
    <t>1 mm:</t>
  </si>
  <si>
    <t>spl</t>
  </si>
  <si>
    <t>KOORDINAT (mm)</t>
  </si>
  <si>
    <t>WL 0.25</t>
  </si>
  <si>
    <t>WL 0.75</t>
  </si>
  <si>
    <t>WL 0.50</t>
  </si>
  <si>
    <t>WL 1.00</t>
  </si>
  <si>
    <t>WL 2.00</t>
  </si>
  <si>
    <t>WL 3.00</t>
  </si>
  <si>
    <t>WL 4.00</t>
  </si>
  <si>
    <t>WL 5.00</t>
  </si>
  <si>
    <t>WL 6.00</t>
  </si>
  <si>
    <t>WL 7.00</t>
  </si>
  <si>
    <t>WL 1.50</t>
  </si>
  <si>
    <t>WL 2.50</t>
  </si>
  <si>
    <t>WL 3.50</t>
  </si>
  <si>
    <t>WL 4.50</t>
  </si>
  <si>
    <t>WL 5.50</t>
  </si>
  <si>
    <t>WL 6.10</t>
  </si>
  <si>
    <t>WL 6.20</t>
  </si>
  <si>
    <t>WL 6.60</t>
  </si>
  <si>
    <t>WL 7.40</t>
  </si>
  <si>
    <t>WL 7.80</t>
  </si>
  <si>
    <t>0,001</t>
  </si>
  <si>
    <t>0,250</t>
  </si>
  <si>
    <t>0,500</t>
  </si>
  <si>
    <t>0,750</t>
  </si>
  <si>
    <t>TABLE OF HALF-BREADTH</t>
  </si>
  <si>
    <t>NO.</t>
  </si>
  <si>
    <t>HALF-BREADTH PLAN (m)</t>
  </si>
  <si>
    <t>FLAT OF BOTTOM</t>
  </si>
  <si>
    <t xml:space="preserve"> WL</t>
  </si>
  <si>
    <t>MD</t>
  </si>
  <si>
    <t>PD</t>
  </si>
  <si>
    <t>FORECASTLE DECK</t>
  </si>
  <si>
    <t>BULWARK</t>
  </si>
  <si>
    <t>STATION</t>
  </si>
  <si>
    <t>0.5</t>
  </si>
  <si>
    <t>1.5</t>
  </si>
  <si>
    <t>6.3</t>
  </si>
  <si>
    <t>18.5</t>
  </si>
  <si>
    <t>19.5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</si>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</sst>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16" x14ac:knownFonts="1">
    <font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charset val="1"/>
      <scheme val="minor"/>
    </font>
    <font>
      <sz val="10"/>
      <color theme="1"/>
      <name val="Calibri"/>
      <family val="2"/>
    </font>
    <font>
      <b/>
      <sz val="9"/>
      <color indexed="81"/>
      <name val="Tahoma"/>
      <family val="2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10"/>
      <color theme="1"/>
      <name val="Calibri"/>
      <family val="2"/>
    </font>
    <font>
      <b/>
      <vertAlign val="subscript"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vertAlign val="subscript"/>
      <sz val="11"/>
      <color theme="1"/>
      <name val="Calibri"/>
      <family val="2"/>
      <scheme val="minor"/>
    </font>
    <font>
      <sz val="10"/>
      <name val="Arial"/>
      <family val="2"/>
    </font>
    <font>
      <vertAlign val="superscript"/>
      <sz val="11"/>
      <color theme="1"/>
      <name val="Calibri"/>
      <family val="2"/>
      <scheme val="minor"/>
    </font>
    <font>
      <sz val="11"/>
      <color rgb="FFFF0000"/>
      <name val="Calibri"/>
      <family val="2"/>
      <charset val="1"/>
      <scheme val="minor"/>
    </font>
    <font>
      <sz val="11"/>
      <name val="Calibri"/>
      <family val="2"/>
      <charset val="1"/>
      <scheme val="minor"/>
    </font>
    <font>
      <sz val="8"/>
      <name val="Calibri"/>
      <family val="2"/>
      <charset val="1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</fills>
  <borders count="6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2">
    <xf numFmtId="0" fontId="0" fillId="0" borderId="0"/>
    <xf numFmtId="0" fontId="11" fillId="0" borderId="0"/>
  </cellStyleXfs>
  <cellXfs count="293">
    <xf numFmtId="0" fontId="0" fillId="0" borderId="0" xfId="0"/>
    <xf numFmtId="0" fontId="2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2" fontId="2" fillId="3" borderId="3" xfId="0" applyNumberFormat="1" applyFont="1" applyFill="1" applyBorder="1" applyAlignment="1" applyProtection="1">
      <alignment horizontal="right" vertical="center" wrapText="1"/>
      <protection locked="0"/>
    </xf>
    <xf numFmtId="0" fontId="2" fillId="0" borderId="4" xfId="0" applyFont="1" applyBorder="1" applyAlignment="1">
      <alignment horizontal="left" vertical="center" wrapText="1"/>
    </xf>
    <xf numFmtId="0" fontId="1" fillId="3" borderId="7" xfId="0" applyFont="1" applyFill="1" applyBorder="1" applyAlignment="1" applyProtection="1">
      <alignment horizontal="center" vertical="center" wrapText="1"/>
      <protection locked="0"/>
    </xf>
    <xf numFmtId="0" fontId="1" fillId="3" borderId="8" xfId="0" applyFont="1" applyFill="1" applyBorder="1" applyAlignment="1" applyProtection="1">
      <alignment horizontal="center" vertical="center" wrapText="1"/>
      <protection locked="0"/>
    </xf>
    <xf numFmtId="0" fontId="1" fillId="3" borderId="9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Border="1" applyAlignment="1" applyProtection="1">
      <alignment horizontal="center" vertical="center" wrapText="1"/>
      <protection locked="0"/>
    </xf>
    <xf numFmtId="164" fontId="2" fillId="0" borderId="8" xfId="0" applyNumberFormat="1" applyFont="1" applyBorder="1" applyAlignment="1" applyProtection="1">
      <alignment horizontal="center" vertical="center" wrapText="1"/>
      <protection locked="0"/>
    </xf>
    <xf numFmtId="0" fontId="2" fillId="3" borderId="0" xfId="0" applyFont="1" applyFill="1" applyAlignment="1" applyProtection="1">
      <alignment horizontal="center" vertical="center" wrapText="1"/>
      <protection locked="0"/>
    </xf>
    <xf numFmtId="2" fontId="2" fillId="3" borderId="0" xfId="0" applyNumberFormat="1" applyFont="1" applyFill="1" applyAlignment="1" applyProtection="1">
      <alignment horizontal="right" vertical="center" wrapText="1"/>
      <protection locked="0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2" fillId="3" borderId="0" xfId="0" applyFont="1" applyFill="1" applyAlignment="1" applyProtection="1">
      <alignment horizontal="right" vertical="center" wrapText="1"/>
      <protection locked="0"/>
    </xf>
    <xf numFmtId="1" fontId="1" fillId="0" borderId="14" xfId="0" applyNumberFormat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horizontal="left" vertical="center" wrapText="1"/>
    </xf>
    <xf numFmtId="1" fontId="5" fillId="0" borderId="14" xfId="0" applyNumberFormat="1" applyFont="1" applyBorder="1" applyAlignment="1">
      <alignment horizontal="center" vertical="center" wrapText="1"/>
    </xf>
    <xf numFmtId="165" fontId="1" fillId="0" borderId="15" xfId="0" applyNumberFormat="1" applyFont="1" applyBorder="1" applyAlignment="1">
      <alignment horizontal="left" vertical="center" wrapText="1"/>
    </xf>
    <xf numFmtId="164" fontId="5" fillId="0" borderId="0" xfId="0" applyNumberFormat="1" applyFont="1" applyAlignment="1">
      <alignment horizontal="center" vertical="center" wrapText="1"/>
    </xf>
    <xf numFmtId="164" fontId="5" fillId="0" borderId="0" xfId="0" applyNumberFormat="1" applyFont="1" applyAlignment="1">
      <alignment vertical="center" wrapText="1"/>
    </xf>
    <xf numFmtId="164" fontId="5" fillId="0" borderId="0" xfId="0" quotePrefix="1" applyNumberFormat="1" applyFont="1" applyAlignment="1">
      <alignment vertical="center" wrapText="1"/>
    </xf>
    <xf numFmtId="164" fontId="5" fillId="2" borderId="31" xfId="0" applyNumberFormat="1" applyFont="1" applyFill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164" fontId="1" fillId="0" borderId="13" xfId="0" applyNumberFormat="1" applyFont="1" applyBorder="1" applyAlignment="1">
      <alignment horizontal="right" vertical="center" wrapText="1"/>
    </xf>
    <xf numFmtId="164" fontId="1" fillId="0" borderId="34" xfId="0" applyNumberFormat="1" applyFont="1" applyBorder="1" applyAlignment="1">
      <alignment vertical="center" wrapText="1"/>
    </xf>
    <xf numFmtId="164" fontId="5" fillId="0" borderId="17" xfId="0" applyNumberFormat="1" applyFont="1" applyBorder="1" applyAlignment="1">
      <alignment horizontal="center" vertical="center" wrapText="1"/>
    </xf>
    <xf numFmtId="164" fontId="5" fillId="0" borderId="25" xfId="0" applyNumberFormat="1" applyFont="1" applyBorder="1" applyAlignment="1">
      <alignment horizontal="center" vertical="center" wrapText="1"/>
    </xf>
    <xf numFmtId="164" fontId="5" fillId="0" borderId="11" xfId="0" applyNumberFormat="1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164" fontId="1" fillId="0" borderId="37" xfId="0" applyNumberFormat="1" applyFont="1" applyBorder="1" applyAlignment="1">
      <alignment horizontal="center" vertical="center" wrapText="1"/>
    </xf>
    <xf numFmtId="164" fontId="1" fillId="0" borderId="38" xfId="0" applyNumberFormat="1" applyFont="1" applyBorder="1" applyAlignment="1">
      <alignment horizontal="center" vertical="center" wrapText="1"/>
    </xf>
    <xf numFmtId="164" fontId="1" fillId="0" borderId="23" xfId="0" applyNumberFormat="1" applyFont="1" applyBorder="1" applyAlignment="1">
      <alignment horizontal="center" vertical="center" wrapText="1"/>
    </xf>
    <xf numFmtId="164" fontId="1" fillId="0" borderId="22" xfId="0" applyNumberFormat="1" applyFont="1" applyBorder="1" applyAlignment="1">
      <alignment horizontal="center" vertical="center" wrapText="1"/>
    </xf>
    <xf numFmtId="164" fontId="1" fillId="0" borderId="39" xfId="0" applyNumberFormat="1" applyFont="1" applyBorder="1" applyAlignment="1">
      <alignment horizontal="center" vertical="center" wrapText="1"/>
    </xf>
    <xf numFmtId="164" fontId="5" fillId="5" borderId="32" xfId="0" applyNumberFormat="1" applyFont="1" applyFill="1" applyBorder="1" applyAlignment="1">
      <alignment horizontal="center" vertical="center" wrapText="1"/>
    </xf>
    <xf numFmtId="164" fontId="5" fillId="5" borderId="21" xfId="0" applyNumberFormat="1" applyFont="1" applyFill="1" applyBorder="1" applyAlignment="1">
      <alignment horizontal="center" vertical="center" wrapText="1"/>
    </xf>
    <xf numFmtId="164" fontId="5" fillId="5" borderId="27" xfId="0" applyNumberFormat="1" applyFont="1" applyFill="1" applyBorder="1" applyAlignment="1">
      <alignment horizontal="center" vertical="center" wrapText="1"/>
    </xf>
    <xf numFmtId="164" fontId="5" fillId="5" borderId="12" xfId="0" applyNumberFormat="1" applyFont="1" applyFill="1" applyBorder="1" applyAlignment="1">
      <alignment horizontal="center" vertical="center" wrapText="1"/>
    </xf>
    <xf numFmtId="164" fontId="5" fillId="5" borderId="18" xfId="0" applyNumberFormat="1" applyFont="1" applyFill="1" applyBorder="1" applyAlignment="1">
      <alignment horizontal="center" vertical="center" wrapText="1"/>
    </xf>
    <xf numFmtId="164" fontId="5" fillId="5" borderId="26" xfId="0" applyNumberFormat="1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0" fontId="5" fillId="0" borderId="25" xfId="0" applyFont="1" applyBorder="1" applyAlignment="1">
      <alignment horizontal="center" vertical="center" wrapText="1"/>
    </xf>
    <xf numFmtId="164" fontId="5" fillId="5" borderId="11" xfId="0" applyNumberFormat="1" applyFont="1" applyFill="1" applyBorder="1" applyAlignment="1">
      <alignment horizontal="center" vertical="center" wrapText="1"/>
    </xf>
    <xf numFmtId="164" fontId="5" fillId="5" borderId="17" xfId="0" applyNumberFormat="1" applyFont="1" applyFill="1" applyBorder="1" applyAlignment="1">
      <alignment horizontal="center" vertical="center" wrapText="1"/>
    </xf>
    <xf numFmtId="164" fontId="5" fillId="5" borderId="25" xfId="0" applyNumberFormat="1" applyFont="1" applyFill="1" applyBorder="1" applyAlignment="1">
      <alignment horizontal="center" vertical="center" wrapText="1"/>
    </xf>
    <xf numFmtId="164" fontId="5" fillId="0" borderId="12" xfId="0" applyNumberFormat="1" applyFont="1" applyBorder="1" applyAlignment="1">
      <alignment horizontal="center" vertical="center" wrapText="1"/>
    </xf>
    <xf numFmtId="164" fontId="5" fillId="0" borderId="18" xfId="0" applyNumberFormat="1" applyFont="1" applyBorder="1" applyAlignment="1">
      <alignment horizontal="center" vertical="center" wrapText="1"/>
    </xf>
    <xf numFmtId="164" fontId="5" fillId="0" borderId="26" xfId="0" applyNumberFormat="1" applyFont="1" applyBorder="1" applyAlignment="1">
      <alignment horizontal="center" vertical="center" wrapText="1"/>
    </xf>
    <xf numFmtId="164" fontId="5" fillId="4" borderId="12" xfId="0" applyNumberFormat="1" applyFont="1" applyFill="1" applyBorder="1" applyAlignment="1">
      <alignment horizontal="center" vertical="center" wrapText="1"/>
    </xf>
    <xf numFmtId="164" fontId="5" fillId="4" borderId="18" xfId="0" applyNumberFormat="1" applyFont="1" applyFill="1" applyBorder="1" applyAlignment="1">
      <alignment horizontal="center" vertical="center" wrapText="1"/>
    </xf>
    <xf numFmtId="164" fontId="5" fillId="4" borderId="26" xfId="0" applyNumberFormat="1" applyFont="1" applyFill="1" applyBorder="1" applyAlignment="1">
      <alignment horizontal="center" vertical="center" wrapText="1"/>
    </xf>
    <xf numFmtId="164" fontId="5" fillId="6" borderId="10" xfId="0" applyNumberFormat="1" applyFont="1" applyFill="1" applyBorder="1" applyAlignment="1">
      <alignment horizontal="center" vertical="center" wrapText="1"/>
    </xf>
    <xf numFmtId="164" fontId="5" fillId="6" borderId="16" xfId="0" applyNumberFormat="1" applyFont="1" applyFill="1" applyBorder="1" applyAlignment="1">
      <alignment horizontal="center" vertical="center" wrapText="1"/>
    </xf>
    <xf numFmtId="164" fontId="5" fillId="6" borderId="24" xfId="0" applyNumberFormat="1" applyFont="1" applyFill="1" applyBorder="1" applyAlignment="1">
      <alignment horizontal="center" vertical="center" wrapText="1"/>
    </xf>
    <xf numFmtId="164" fontId="1" fillId="7" borderId="20" xfId="0" applyNumberFormat="1" applyFont="1" applyFill="1" applyBorder="1" applyAlignment="1">
      <alignment horizontal="center" vertical="center" wrapText="1"/>
    </xf>
    <xf numFmtId="164" fontId="1" fillId="7" borderId="17" xfId="0" applyNumberFormat="1" applyFont="1" applyFill="1" applyBorder="1" applyAlignment="1">
      <alignment horizontal="center" vertical="center" wrapText="1"/>
    </xf>
    <xf numFmtId="164" fontId="1" fillId="7" borderId="25" xfId="0" applyNumberFormat="1" applyFont="1" applyFill="1" applyBorder="1" applyAlignment="1">
      <alignment horizontal="center" vertical="center" wrapText="1"/>
    </xf>
    <xf numFmtId="164" fontId="1" fillId="7" borderId="11" xfId="0" applyNumberFormat="1" applyFont="1" applyFill="1" applyBorder="1" applyAlignment="1">
      <alignment horizontal="center" vertical="center" wrapText="1"/>
    </xf>
    <xf numFmtId="164" fontId="1" fillId="7" borderId="29" xfId="0" applyNumberFormat="1" applyFont="1" applyFill="1" applyBorder="1" applyAlignment="1">
      <alignment horizontal="center" vertical="center" wrapText="1"/>
    </xf>
    <xf numFmtId="1" fontId="1" fillId="0" borderId="15" xfId="0" applyNumberFormat="1" applyFont="1" applyBorder="1" applyAlignment="1">
      <alignment horizontal="left" vertical="center" wrapText="1"/>
    </xf>
    <xf numFmtId="1" fontId="1" fillId="0" borderId="13" xfId="0" applyNumberFormat="1" applyFont="1" applyBorder="1" applyAlignment="1">
      <alignment horizontal="right" vertical="center" wrapText="1"/>
    </xf>
    <xf numFmtId="1" fontId="1" fillId="0" borderId="14" xfId="0" applyNumberFormat="1" applyFont="1" applyBorder="1" applyAlignment="1">
      <alignment horizontal="right" vertical="center" wrapText="1"/>
    </xf>
    <xf numFmtId="164" fontId="1" fillId="10" borderId="1" xfId="0" applyNumberFormat="1" applyFont="1" applyFill="1" applyBorder="1" applyAlignment="1">
      <alignment horizontal="center" vertical="center" wrapText="1"/>
    </xf>
    <xf numFmtId="0" fontId="9" fillId="9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9" fillId="8" borderId="1" xfId="0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164" fontId="5" fillId="3" borderId="17" xfId="0" applyNumberFormat="1" applyFont="1" applyFill="1" applyBorder="1" applyAlignment="1">
      <alignment horizontal="center" vertical="center" wrapText="1"/>
    </xf>
    <xf numFmtId="164" fontId="5" fillId="3" borderId="25" xfId="0" applyNumberFormat="1" applyFont="1" applyFill="1" applyBorder="1" applyAlignment="1">
      <alignment horizontal="center" vertical="center" wrapText="1"/>
    </xf>
    <xf numFmtId="164" fontId="5" fillId="5" borderId="19" xfId="0" applyNumberFormat="1" applyFont="1" applyFill="1" applyBorder="1" applyAlignment="1">
      <alignment horizontal="center" vertical="center" wrapText="1"/>
    </xf>
    <xf numFmtId="164" fontId="5" fillId="0" borderId="20" xfId="0" applyNumberFormat="1" applyFont="1" applyBorder="1" applyAlignment="1">
      <alignment horizontal="center" vertical="center" wrapText="1"/>
    </xf>
    <xf numFmtId="164" fontId="5" fillId="3" borderId="20" xfId="0" applyNumberFormat="1" applyFont="1" applyFill="1" applyBorder="1" applyAlignment="1">
      <alignment horizontal="center" vertical="center" wrapText="1"/>
    </xf>
    <xf numFmtId="164" fontId="5" fillId="5" borderId="43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0" fontId="9" fillId="0" borderId="31" xfId="0" applyFont="1" applyBorder="1" applyAlignment="1">
      <alignment horizontal="center" vertical="center"/>
    </xf>
    <xf numFmtId="0" fontId="0" fillId="11" borderId="15" xfId="0" applyFill="1" applyBorder="1" applyAlignment="1">
      <alignment vertical="center"/>
    </xf>
    <xf numFmtId="0" fontId="0" fillId="11" borderId="0" xfId="0" applyFill="1" applyAlignment="1">
      <alignment vertical="center"/>
    </xf>
    <xf numFmtId="0" fontId="0" fillId="3" borderId="0" xfId="0" applyFill="1"/>
    <xf numFmtId="164" fontId="5" fillId="5" borderId="10" xfId="0" applyNumberFormat="1" applyFont="1" applyFill="1" applyBorder="1" applyAlignment="1">
      <alignment horizontal="center" vertical="center" wrapText="1"/>
    </xf>
    <xf numFmtId="164" fontId="5" fillId="5" borderId="16" xfId="0" applyNumberFormat="1" applyFont="1" applyFill="1" applyBorder="1" applyAlignment="1">
      <alignment horizontal="center" vertical="center" wrapText="1"/>
    </xf>
    <xf numFmtId="164" fontId="5" fillId="5" borderId="24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 wrapText="1"/>
    </xf>
    <xf numFmtId="0" fontId="0" fillId="0" borderId="15" xfId="0" applyBorder="1" applyAlignment="1">
      <alignment vertical="center"/>
    </xf>
    <xf numFmtId="0" fontId="0" fillId="0" borderId="30" xfId="0" applyBorder="1" applyAlignment="1">
      <alignment vertical="center"/>
    </xf>
    <xf numFmtId="0" fontId="0" fillId="0" borderId="47" xfId="0" applyBorder="1" applyAlignment="1">
      <alignment vertical="center"/>
    </xf>
    <xf numFmtId="0" fontId="0" fillId="11" borderId="30" xfId="0" applyFill="1" applyBorder="1" applyAlignment="1">
      <alignment vertical="center"/>
    </xf>
    <xf numFmtId="0" fontId="9" fillId="0" borderId="19" xfId="0" applyFont="1" applyBorder="1" applyAlignment="1">
      <alignment vertical="center"/>
    </xf>
    <xf numFmtId="0" fontId="9" fillId="0" borderId="8" xfId="0" applyFont="1" applyBorder="1" applyAlignment="1">
      <alignment horizontal="center" vertical="center"/>
    </xf>
    <xf numFmtId="164" fontId="0" fillId="6" borderId="1" xfId="0" applyNumberFormat="1" applyFill="1" applyBorder="1" applyAlignment="1">
      <alignment horizontal="center" vertical="center"/>
    </xf>
    <xf numFmtId="0" fontId="9" fillId="12" borderId="1" xfId="0" applyFon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64" fontId="1" fillId="0" borderId="15" xfId="0" applyNumberFormat="1" applyFont="1" applyBorder="1" applyAlignment="1">
      <alignment horizontal="left" vertical="center" wrapText="1"/>
    </xf>
    <xf numFmtId="0" fontId="0" fillId="0" borderId="10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24" xfId="0" applyBorder="1" applyAlignment="1">
      <alignment vertical="center"/>
    </xf>
    <xf numFmtId="164" fontId="0" fillId="5" borderId="25" xfId="0" applyNumberFormat="1" applyFill="1" applyBorder="1" applyAlignment="1">
      <alignment horizontal="center" vertical="center"/>
    </xf>
    <xf numFmtId="164" fontId="0" fillId="5" borderId="11" xfId="0" applyNumberFormat="1" applyFill="1" applyBorder="1" applyAlignment="1">
      <alignment horizontal="center" vertical="center"/>
    </xf>
    <xf numFmtId="164" fontId="0" fillId="5" borderId="17" xfId="0" applyNumberFormat="1" applyFill="1" applyBorder="1" applyAlignment="1">
      <alignment horizontal="center" vertical="center"/>
    </xf>
    <xf numFmtId="164" fontId="5" fillId="6" borderId="11" xfId="0" applyNumberFormat="1" applyFont="1" applyFill="1" applyBorder="1" applyAlignment="1">
      <alignment horizontal="center" vertical="center" wrapText="1"/>
    </xf>
    <xf numFmtId="164" fontId="5" fillId="6" borderId="17" xfId="0" applyNumberFormat="1" applyFont="1" applyFill="1" applyBorder="1" applyAlignment="1">
      <alignment horizontal="center" vertical="center" wrapText="1"/>
    </xf>
    <xf numFmtId="164" fontId="5" fillId="6" borderId="25" xfId="0" applyNumberFormat="1" applyFont="1" applyFill="1" applyBorder="1" applyAlignment="1">
      <alignment horizontal="center" vertical="center" wrapText="1"/>
    </xf>
    <xf numFmtId="0" fontId="0" fillId="0" borderId="28" xfId="0" applyBorder="1" applyAlignment="1">
      <alignment vertical="center"/>
    </xf>
    <xf numFmtId="164" fontId="0" fillId="5" borderId="28" xfId="0" applyNumberFormat="1" applyFill="1" applyBorder="1" applyAlignment="1">
      <alignment horizontal="center" vertical="center"/>
    </xf>
    <xf numFmtId="164" fontId="0" fillId="5" borderId="16" xfId="0" applyNumberFormat="1" applyFill="1" applyBorder="1" applyAlignment="1">
      <alignment horizontal="center" vertical="center"/>
    </xf>
    <xf numFmtId="164" fontId="0" fillId="5" borderId="24" xfId="0" applyNumberFormat="1" applyFill="1" applyBorder="1" applyAlignment="1">
      <alignment horizontal="center" vertical="center"/>
    </xf>
    <xf numFmtId="165" fontId="9" fillId="0" borderId="41" xfId="0" applyNumberFormat="1" applyFont="1" applyBorder="1" applyAlignment="1">
      <alignment horizontal="center" vertical="center"/>
    </xf>
    <xf numFmtId="165" fontId="9" fillId="0" borderId="54" xfId="0" applyNumberFormat="1" applyFont="1" applyBorder="1" applyAlignment="1">
      <alignment horizontal="center" vertical="center"/>
    </xf>
    <xf numFmtId="164" fontId="0" fillId="7" borderId="53" xfId="0" applyNumberFormat="1" applyFill="1" applyBorder="1" applyAlignment="1">
      <alignment horizontal="center" vertical="center"/>
    </xf>
    <xf numFmtId="164" fontId="0" fillId="7" borderId="41" xfId="0" applyNumberFormat="1" applyFill="1" applyBorder="1" applyAlignment="1">
      <alignment horizontal="center" vertical="center"/>
    </xf>
    <xf numFmtId="164" fontId="1" fillId="0" borderId="45" xfId="0" applyNumberFormat="1" applyFont="1" applyBorder="1" applyAlignment="1">
      <alignment horizontal="center" vertical="center" wrapText="1"/>
    </xf>
    <xf numFmtId="164" fontId="1" fillId="0" borderId="46" xfId="0" applyNumberFormat="1" applyFont="1" applyBorder="1" applyAlignment="1">
      <alignment horizontal="center" vertical="center" wrapText="1"/>
    </xf>
    <xf numFmtId="164" fontId="0" fillId="3" borderId="10" xfId="0" applyNumberFormat="1" applyFill="1" applyBorder="1" applyAlignment="1">
      <alignment horizontal="center" vertical="center"/>
    </xf>
    <xf numFmtId="164" fontId="0" fillId="3" borderId="16" xfId="0" applyNumberFormat="1" applyFill="1" applyBorder="1" applyAlignment="1">
      <alignment horizontal="center" vertical="center"/>
    </xf>
    <xf numFmtId="164" fontId="0" fillId="3" borderId="24" xfId="0" applyNumberFormat="1" applyFill="1" applyBorder="1" applyAlignment="1">
      <alignment horizontal="center" vertical="center"/>
    </xf>
    <xf numFmtId="164" fontId="0" fillId="3" borderId="12" xfId="0" applyNumberFormat="1" applyFill="1" applyBorder="1" applyAlignment="1">
      <alignment horizontal="center" vertical="center"/>
    </xf>
    <xf numFmtId="164" fontId="0" fillId="3" borderId="18" xfId="0" applyNumberFormat="1" applyFill="1" applyBorder="1" applyAlignment="1">
      <alignment horizontal="center" vertical="center"/>
    </xf>
    <xf numFmtId="164" fontId="0" fillId="3" borderId="26" xfId="0" applyNumberFormat="1" applyFill="1" applyBorder="1" applyAlignment="1">
      <alignment horizontal="center" vertical="center"/>
    </xf>
    <xf numFmtId="2" fontId="5" fillId="4" borderId="13" xfId="0" applyNumberFormat="1" applyFont="1" applyFill="1" applyBorder="1" applyAlignment="1">
      <alignment horizontal="right" vertical="center" wrapText="1"/>
    </xf>
    <xf numFmtId="2" fontId="1" fillId="0" borderId="14" xfId="0" applyNumberFormat="1" applyFont="1" applyBorder="1" applyAlignment="1">
      <alignment vertical="center" wrapText="1"/>
    </xf>
    <xf numFmtId="2" fontId="5" fillId="3" borderId="33" xfId="0" applyNumberFormat="1" applyFont="1" applyFill="1" applyBorder="1" applyAlignment="1">
      <alignment horizontal="right" vertical="center" wrapText="1"/>
    </xf>
    <xf numFmtId="2" fontId="5" fillId="3" borderId="14" xfId="0" applyNumberFormat="1" applyFont="1" applyFill="1" applyBorder="1" applyAlignment="1">
      <alignment vertical="center" wrapText="1"/>
    </xf>
    <xf numFmtId="0" fontId="5" fillId="0" borderId="10" xfId="0" applyFont="1" applyBorder="1" applyAlignment="1">
      <alignment horizontal="center" vertical="center" wrapText="1"/>
    </xf>
    <xf numFmtId="2" fontId="5" fillId="0" borderId="0" xfId="0" applyNumberFormat="1" applyFont="1" applyAlignment="1">
      <alignment vertical="center" wrapText="1"/>
    </xf>
    <xf numFmtId="2" fontId="5" fillId="0" borderId="14" xfId="0" applyNumberFormat="1" applyFont="1" applyBorder="1" applyAlignment="1">
      <alignment vertical="center" wrapText="1"/>
    </xf>
    <xf numFmtId="2" fontId="1" fillId="0" borderId="14" xfId="0" applyNumberFormat="1" applyFont="1" applyBorder="1" applyAlignment="1">
      <alignment horizontal="left" vertical="center" wrapText="1"/>
    </xf>
    <xf numFmtId="2" fontId="5" fillId="0" borderId="14" xfId="0" applyNumberFormat="1" applyFont="1" applyBorder="1" applyAlignment="1">
      <alignment horizontal="center" vertical="center" wrapText="1"/>
    </xf>
    <xf numFmtId="2" fontId="5" fillId="0" borderId="33" xfId="0" applyNumberFormat="1" applyFont="1" applyBorder="1" applyAlignment="1">
      <alignment horizontal="center" vertical="center" wrapText="1"/>
    </xf>
    <xf numFmtId="2" fontId="1" fillId="0" borderId="13" xfId="0" applyNumberFormat="1" applyFont="1" applyBorder="1" applyAlignment="1">
      <alignment horizontal="right" vertical="center" wrapText="1"/>
    </xf>
    <xf numFmtId="2" fontId="1" fillId="0" borderId="34" xfId="0" applyNumberFormat="1" applyFont="1" applyBorder="1" applyAlignment="1">
      <alignment vertical="center" wrapText="1"/>
    </xf>
    <xf numFmtId="2" fontId="5" fillId="2" borderId="31" xfId="0" applyNumberFormat="1" applyFont="1" applyFill="1" applyBorder="1" applyAlignment="1">
      <alignment horizontal="center" vertical="center" wrapText="1"/>
    </xf>
    <xf numFmtId="2" fontId="5" fillId="0" borderId="0" xfId="0" applyNumberFormat="1" applyFont="1" applyAlignment="1">
      <alignment horizontal="center" vertical="center" wrapText="1"/>
    </xf>
    <xf numFmtId="2" fontId="5" fillId="0" borderId="13" xfId="0" applyNumberFormat="1" applyFont="1" applyBorder="1" applyAlignment="1">
      <alignment vertical="center" wrapText="1"/>
    </xf>
    <xf numFmtId="2" fontId="5" fillId="0" borderId="15" xfId="0" applyNumberFormat="1" applyFont="1" applyBorder="1" applyAlignment="1">
      <alignment horizontal="center" vertical="center" wrapText="1"/>
    </xf>
    <xf numFmtId="2" fontId="1" fillId="0" borderId="33" xfId="0" applyNumberFormat="1" applyFont="1" applyBorder="1" applyAlignment="1">
      <alignment horizontal="right" vertical="center" wrapText="1"/>
    </xf>
    <xf numFmtId="2" fontId="1" fillId="0" borderId="15" xfId="0" applyNumberFormat="1" applyFont="1" applyBorder="1" applyAlignment="1">
      <alignment horizontal="left" vertical="center" wrapText="1"/>
    </xf>
    <xf numFmtId="2" fontId="5" fillId="4" borderId="14" xfId="0" applyNumberFormat="1" applyFont="1" applyFill="1" applyBorder="1" applyAlignment="1">
      <alignment horizontal="right" vertical="center" wrapText="1"/>
    </xf>
    <xf numFmtId="2" fontId="1" fillId="0" borderId="30" xfId="0" applyNumberFormat="1" applyFont="1" applyBorder="1" applyAlignment="1">
      <alignment horizontal="left" vertical="center" wrapText="1"/>
    </xf>
    <xf numFmtId="164" fontId="0" fillId="7" borderId="48" xfId="0" applyNumberFormat="1" applyFill="1" applyBorder="1" applyAlignment="1">
      <alignment horizontal="center" vertical="center"/>
    </xf>
    <xf numFmtId="164" fontId="0" fillId="7" borderId="56" xfId="0" applyNumberFormat="1" applyFill="1" applyBorder="1" applyAlignment="1">
      <alignment horizontal="center" vertical="center"/>
    </xf>
    <xf numFmtId="164" fontId="0" fillId="7" borderId="1" xfId="0" applyNumberFormat="1" applyFill="1" applyBorder="1" applyAlignment="1">
      <alignment horizontal="center" vertical="center"/>
    </xf>
    <xf numFmtId="164" fontId="0" fillId="7" borderId="49" xfId="0" applyNumberFormat="1" applyFill="1" applyBorder="1" applyAlignment="1">
      <alignment horizontal="center" vertical="center"/>
    </xf>
    <xf numFmtId="164" fontId="0" fillId="7" borderId="42" xfId="0" applyNumberFormat="1" applyFill="1" applyBorder="1" applyAlignment="1">
      <alignment horizontal="center" vertical="center"/>
    </xf>
    <xf numFmtId="165" fontId="9" fillId="0" borderId="42" xfId="0" applyNumberFormat="1" applyFont="1" applyBorder="1" applyAlignment="1">
      <alignment horizontal="center" vertical="center"/>
    </xf>
    <xf numFmtId="2" fontId="1" fillId="0" borderId="33" xfId="0" applyNumberFormat="1" applyFont="1" applyBorder="1" applyAlignment="1">
      <alignment vertical="center" wrapText="1"/>
    </xf>
    <xf numFmtId="164" fontId="5" fillId="4" borderId="10" xfId="0" applyNumberFormat="1" applyFont="1" applyFill="1" applyBorder="1" applyAlignment="1">
      <alignment horizontal="center" vertical="center" wrapText="1"/>
    </xf>
    <xf numFmtId="164" fontId="5" fillId="6" borderId="32" xfId="0" applyNumberFormat="1" applyFont="1" applyFill="1" applyBorder="1" applyAlignment="1">
      <alignment horizontal="center" vertical="center" wrapText="1"/>
    </xf>
    <xf numFmtId="164" fontId="5" fillId="4" borderId="16" xfId="0" applyNumberFormat="1" applyFont="1" applyFill="1" applyBorder="1" applyAlignment="1">
      <alignment horizontal="center" vertical="center" wrapText="1"/>
    </xf>
    <xf numFmtId="164" fontId="5" fillId="6" borderId="21" xfId="0" applyNumberFormat="1" applyFont="1" applyFill="1" applyBorder="1" applyAlignment="1">
      <alignment horizontal="center" vertical="center" wrapText="1"/>
    </xf>
    <xf numFmtId="164" fontId="5" fillId="4" borderId="24" xfId="0" applyNumberFormat="1" applyFont="1" applyFill="1" applyBorder="1" applyAlignment="1">
      <alignment horizontal="center" vertical="center" wrapText="1"/>
    </xf>
    <xf numFmtId="164" fontId="5" fillId="6" borderId="27" xfId="0" applyNumberFormat="1" applyFont="1" applyFill="1" applyBorder="1" applyAlignment="1">
      <alignment horizontal="center" vertical="center" wrapText="1"/>
    </xf>
    <xf numFmtId="164" fontId="0" fillId="7" borderId="7" xfId="0" applyNumberFormat="1" applyFill="1" applyBorder="1" applyAlignment="1">
      <alignment horizontal="center" vertical="center"/>
    </xf>
    <xf numFmtId="164" fontId="0" fillId="7" borderId="58" xfId="0" applyNumberFormat="1" applyFill="1" applyBorder="1" applyAlignment="1">
      <alignment horizontal="center" vertical="center"/>
    </xf>
    <xf numFmtId="0" fontId="0" fillId="11" borderId="11" xfId="0" applyFill="1" applyBorder="1" applyAlignment="1">
      <alignment vertical="center"/>
    </xf>
    <xf numFmtId="0" fontId="0" fillId="11" borderId="17" xfId="0" applyFill="1" applyBorder="1" applyAlignment="1">
      <alignment vertical="center"/>
    </xf>
    <xf numFmtId="0" fontId="0" fillId="11" borderId="14" xfId="0" applyFill="1" applyBorder="1" applyAlignment="1">
      <alignment vertical="center"/>
    </xf>
    <xf numFmtId="2" fontId="5" fillId="4" borderId="52" xfId="0" applyNumberFormat="1" applyFont="1" applyFill="1" applyBorder="1" applyAlignment="1">
      <alignment horizontal="right" vertical="center" wrapText="1"/>
    </xf>
    <xf numFmtId="1" fontId="0" fillId="0" borderId="0" xfId="0" quotePrefix="1" applyNumberFormat="1" applyAlignment="1">
      <alignment horizontal="right"/>
    </xf>
    <xf numFmtId="0" fontId="0" fillId="0" borderId="0" xfId="0" quotePrefix="1" applyAlignment="1">
      <alignment horizontal="right"/>
    </xf>
    <xf numFmtId="0" fontId="9" fillId="11" borderId="31" xfId="0" applyFont="1" applyFill="1" applyBorder="1" applyAlignment="1">
      <alignment horizontal="center" vertical="center"/>
    </xf>
    <xf numFmtId="0" fontId="0" fillId="11" borderId="13" xfId="0" applyFill="1" applyBorder="1" applyAlignment="1">
      <alignment vertical="center"/>
    </xf>
    <xf numFmtId="0" fontId="0" fillId="0" borderId="0" xfId="0" applyAlignment="1">
      <alignment horizontal="right" vertical="center"/>
    </xf>
    <xf numFmtId="0" fontId="0" fillId="0" borderId="40" xfId="0" applyBorder="1" applyAlignment="1">
      <alignment vertical="center"/>
    </xf>
    <xf numFmtId="0" fontId="0" fillId="0" borderId="33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6" borderId="59" xfId="0" applyFill="1" applyBorder="1" applyAlignment="1">
      <alignment vertical="center"/>
    </xf>
    <xf numFmtId="0" fontId="0" fillId="6" borderId="0" xfId="0" applyFill="1" applyAlignment="1">
      <alignment vertical="center"/>
    </xf>
    <xf numFmtId="0" fontId="0" fillId="6" borderId="52" xfId="0" applyFill="1" applyBorder="1" applyAlignment="1">
      <alignment vertical="center"/>
    </xf>
    <xf numFmtId="0" fontId="0" fillId="6" borderId="30" xfId="0" applyFill="1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8" xfId="0" applyBorder="1" applyAlignment="1">
      <alignment vertical="center" wrapText="1"/>
    </xf>
    <xf numFmtId="0" fontId="0" fillId="0" borderId="51" xfId="0" applyBorder="1" applyAlignment="1">
      <alignment vertical="center"/>
    </xf>
    <xf numFmtId="0" fontId="0" fillId="11" borderId="57" xfId="0" applyFill="1" applyBorder="1" applyAlignment="1">
      <alignment vertical="center"/>
    </xf>
    <xf numFmtId="0" fontId="0" fillId="11" borderId="29" xfId="0" applyFill="1" applyBorder="1" applyAlignment="1">
      <alignment vertical="center"/>
    </xf>
    <xf numFmtId="0" fontId="0" fillId="4" borderId="60" xfId="0" applyFill="1" applyBorder="1" applyAlignment="1">
      <alignment vertical="center"/>
    </xf>
    <xf numFmtId="0" fontId="0" fillId="4" borderId="2" xfId="0" applyFill="1" applyBorder="1" applyAlignment="1">
      <alignment vertical="center"/>
    </xf>
    <xf numFmtId="0" fontId="0" fillId="4" borderId="8" xfId="0" applyFill="1" applyBorder="1" applyAlignment="1">
      <alignment vertical="center"/>
    </xf>
    <xf numFmtId="164" fontId="5" fillId="0" borderId="31" xfId="0" applyNumberFormat="1" applyFont="1" applyBorder="1" applyAlignment="1">
      <alignment horizontal="center" vertical="center" wrapText="1"/>
    </xf>
    <xf numFmtId="164" fontId="5" fillId="0" borderId="29" xfId="0" applyNumberFormat="1" applyFont="1" applyBorder="1" applyAlignment="1">
      <alignment horizontal="center" vertical="center" wrapText="1"/>
    </xf>
    <xf numFmtId="0" fontId="5" fillId="0" borderId="31" xfId="0" applyFont="1" applyBorder="1" applyAlignment="1">
      <alignment horizontal="center" vertical="center" wrapText="1"/>
    </xf>
    <xf numFmtId="164" fontId="1" fillId="7" borderId="32" xfId="0" applyNumberFormat="1" applyFont="1" applyFill="1" applyBorder="1" applyAlignment="1">
      <alignment horizontal="center" vertical="center" wrapText="1"/>
    </xf>
    <xf numFmtId="164" fontId="1" fillId="7" borderId="21" xfId="0" applyNumberFormat="1" applyFont="1" applyFill="1" applyBorder="1" applyAlignment="1">
      <alignment horizontal="center" vertical="center" wrapText="1"/>
    </xf>
    <xf numFmtId="164" fontId="1" fillId="7" borderId="27" xfId="0" applyNumberFormat="1" applyFont="1" applyFill="1" applyBorder="1" applyAlignment="1">
      <alignment horizontal="center" vertical="center" wrapText="1"/>
    </xf>
    <xf numFmtId="0" fontId="13" fillId="0" borderId="0" xfId="0" applyFont="1"/>
    <xf numFmtId="164" fontId="14" fillId="3" borderId="28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8" borderId="0" xfId="0" applyFont="1" applyFill="1" applyAlignment="1">
      <alignment vertical="center"/>
    </xf>
    <xf numFmtId="0" fontId="9" fillId="13" borderId="0" xfId="0" applyFont="1" applyFill="1" applyAlignment="1">
      <alignment vertical="center"/>
    </xf>
    <xf numFmtId="0" fontId="0" fillId="13" borderId="0" xfId="0" applyFill="1" applyAlignment="1">
      <alignment vertical="center"/>
    </xf>
    <xf numFmtId="0" fontId="1" fillId="14" borderId="2" xfId="0" applyFont="1" applyFill="1" applyBorder="1" applyAlignment="1">
      <alignment horizontal="center" vertical="center" wrapText="1"/>
    </xf>
    <xf numFmtId="0" fontId="1" fillId="14" borderId="6" xfId="0" applyFont="1" applyFill="1" applyBorder="1" applyAlignment="1">
      <alignment horizontal="center" vertical="center" wrapText="1"/>
    </xf>
    <xf numFmtId="0" fontId="1" fillId="14" borderId="5" xfId="0" applyFont="1" applyFill="1" applyBorder="1" applyAlignment="1">
      <alignment horizontal="center" vertical="center" wrapText="1"/>
    </xf>
    <xf numFmtId="164" fontId="1" fillId="0" borderId="40" xfId="0" applyNumberFormat="1" applyFont="1" applyBorder="1" applyAlignment="1">
      <alignment horizontal="center" vertical="center" wrapText="1"/>
    </xf>
    <xf numFmtId="164" fontId="1" fillId="0" borderId="30" xfId="0" applyNumberFormat="1" applyFont="1" applyBorder="1" applyAlignment="1">
      <alignment horizontal="center" vertical="center" wrapText="1"/>
    </xf>
    <xf numFmtId="164" fontId="1" fillId="0" borderId="31" xfId="0" applyNumberFormat="1" applyFont="1" applyBorder="1" applyAlignment="1">
      <alignment horizontal="center" vertical="center" wrapText="1"/>
    </xf>
    <xf numFmtId="164" fontId="0" fillId="11" borderId="25" xfId="0" applyNumberFormat="1" applyFill="1" applyBorder="1" applyAlignment="1">
      <alignment vertical="center"/>
    </xf>
    <xf numFmtId="3" fontId="0" fillId="0" borderId="0" xfId="0" applyNumberFormat="1"/>
    <xf numFmtId="2" fontId="0" fillId="0" borderId="0" xfId="0" applyNumberFormat="1" applyAlignment="1">
      <alignment vertical="center"/>
    </xf>
    <xf numFmtId="164" fontId="0" fillId="0" borderId="0" xfId="0" applyNumberFormat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1" fillId="0" borderId="33" xfId="0" applyNumberFormat="1" applyFont="1" applyBorder="1" applyAlignment="1">
      <alignment horizontal="center" vertical="center" wrapText="1"/>
    </xf>
    <xf numFmtId="165" fontId="1" fillId="0" borderId="14" xfId="0" applyNumberFormat="1" applyFont="1" applyBorder="1" applyAlignment="1">
      <alignment horizontal="left" vertical="center" wrapText="1"/>
    </xf>
    <xf numFmtId="164" fontId="5" fillId="5" borderId="0" xfId="0" applyNumberFormat="1" applyFont="1" applyFill="1" applyAlignment="1">
      <alignment horizontal="center" vertical="center" wrapText="1"/>
    </xf>
    <xf numFmtId="165" fontId="9" fillId="0" borderId="62" xfId="0" applyNumberFormat="1" applyFont="1" applyBorder="1" applyAlignment="1">
      <alignment horizontal="center" vertical="center"/>
    </xf>
    <xf numFmtId="165" fontId="1" fillId="0" borderId="34" xfId="0" applyNumberFormat="1" applyFont="1" applyBorder="1" applyAlignment="1">
      <alignment horizontal="left" vertical="center" wrapText="1"/>
    </xf>
    <xf numFmtId="165" fontId="1" fillId="0" borderId="33" xfId="0" applyNumberFormat="1" applyFont="1" applyBorder="1" applyAlignment="1">
      <alignment horizontal="left" vertical="center" wrapText="1"/>
    </xf>
    <xf numFmtId="164" fontId="1" fillId="0" borderId="63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1" fontId="1" fillId="0" borderId="13" xfId="0" applyNumberFormat="1" applyFont="1" applyBorder="1" applyAlignment="1">
      <alignment horizontal="left" vertical="center" wrapText="1"/>
    </xf>
    <xf numFmtId="164" fontId="1" fillId="0" borderId="14" xfId="0" applyNumberFormat="1" applyFont="1" applyBorder="1" applyAlignment="1">
      <alignment horizontal="right" vertical="center" wrapText="1"/>
    </xf>
    <xf numFmtId="164" fontId="1" fillId="0" borderId="34" xfId="0" applyNumberFormat="1" applyFont="1" applyBorder="1" applyAlignment="1">
      <alignment horizontal="left" vertical="center" wrapText="1"/>
    </xf>
    <xf numFmtId="1" fontId="1" fillId="0" borderId="60" xfId="0" applyNumberFormat="1" applyFont="1" applyBorder="1" applyAlignment="1">
      <alignment horizontal="left" vertical="center" wrapText="1"/>
    </xf>
    <xf numFmtId="164" fontId="1" fillId="0" borderId="60" xfId="0" applyNumberFormat="1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64" fontId="0" fillId="11" borderId="0" xfId="0" applyNumberFormat="1" applyFill="1" applyAlignment="1">
      <alignment vertical="center"/>
    </xf>
    <xf numFmtId="164" fontId="1" fillId="0" borderId="33" xfId="0" applyNumberFormat="1" applyFont="1" applyBorder="1" applyAlignment="1">
      <alignment horizontal="left" vertical="center" wrapText="1"/>
    </xf>
    <xf numFmtId="164" fontId="1" fillId="0" borderId="40" xfId="0" applyNumberFormat="1" applyFont="1" applyBorder="1" applyAlignment="1">
      <alignment horizontal="right" vertical="center" wrapText="1"/>
    </xf>
    <xf numFmtId="164" fontId="1" fillId="0" borderId="33" xfId="0" applyNumberFormat="1" applyFont="1" applyBorder="1" applyAlignment="1">
      <alignment horizontal="right" vertical="center" wrapText="1"/>
    </xf>
    <xf numFmtId="2" fontId="5" fillId="4" borderId="40" xfId="0" applyNumberFormat="1" applyFont="1" applyFill="1" applyBorder="1" applyAlignment="1">
      <alignment horizontal="right" vertical="center" wrapText="1"/>
    </xf>
    <xf numFmtId="164" fontId="1" fillId="0" borderId="61" xfId="0" applyNumberFormat="1" applyFont="1" applyBorder="1" applyAlignment="1">
      <alignment horizontal="center" vertical="center" wrapText="1"/>
    </xf>
    <xf numFmtId="164" fontId="5" fillId="3" borderId="10" xfId="0" applyNumberFormat="1" applyFont="1" applyFill="1" applyBorder="1" applyAlignment="1">
      <alignment horizontal="center" vertical="center" wrapText="1"/>
    </xf>
    <xf numFmtId="164" fontId="5" fillId="3" borderId="16" xfId="0" applyNumberFormat="1" applyFont="1" applyFill="1" applyBorder="1" applyAlignment="1">
      <alignment horizontal="center" vertical="center" wrapText="1"/>
    </xf>
    <xf numFmtId="2" fontId="9" fillId="9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 wrapText="1"/>
      <protection locked="0"/>
    </xf>
    <xf numFmtId="0" fontId="2" fillId="3" borderId="4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16" xfId="0" applyNumberFormat="1" applyFont="1" applyBorder="1" applyAlignment="1">
      <alignment horizontal="center" vertical="center" wrapText="1"/>
    </xf>
    <xf numFmtId="164" fontId="1" fillId="0" borderId="35" xfId="0" applyNumberFormat="1" applyFont="1" applyBorder="1" applyAlignment="1">
      <alignment horizontal="center" vertical="center" wrapText="1"/>
    </xf>
    <xf numFmtId="164" fontId="1" fillId="0" borderId="11" xfId="0" applyNumberFormat="1" applyFont="1" applyBorder="1" applyAlignment="1">
      <alignment horizontal="center" vertical="center" wrapText="1"/>
    </xf>
    <xf numFmtId="164" fontId="1" fillId="0" borderId="17" xfId="0" applyNumberFormat="1" applyFont="1" applyBorder="1" applyAlignment="1">
      <alignment horizontal="center" vertical="center" wrapText="1"/>
    </xf>
    <xf numFmtId="164" fontId="1" fillId="0" borderId="36" xfId="0" applyNumberFormat="1" applyFont="1" applyBorder="1" applyAlignment="1">
      <alignment horizontal="center" vertical="center" wrapText="1"/>
    </xf>
    <xf numFmtId="164" fontId="7" fillId="0" borderId="28" xfId="0" applyNumberFormat="1" applyFont="1" applyBorder="1" applyAlignment="1">
      <alignment horizontal="center" vertical="center" wrapText="1"/>
    </xf>
    <xf numFmtId="164" fontId="7" fillId="0" borderId="11" xfId="0" applyNumberFormat="1" applyFont="1" applyBorder="1" applyAlignment="1">
      <alignment horizontal="center" vertical="center" wrapText="1"/>
    </xf>
    <xf numFmtId="164" fontId="1" fillId="0" borderId="25" xfId="0" applyNumberFormat="1" applyFont="1" applyBorder="1" applyAlignment="1">
      <alignment horizontal="center" vertical="center" wrapText="1"/>
    </xf>
    <xf numFmtId="2" fontId="5" fillId="4" borderId="59" xfId="0" applyNumberFormat="1" applyFont="1" applyFill="1" applyBorder="1" applyAlignment="1">
      <alignment horizontal="center" vertical="center" wrapText="1"/>
    </xf>
    <xf numFmtId="2" fontId="5" fillId="4" borderId="0" xfId="0" applyNumberFormat="1" applyFont="1" applyFill="1" applyAlignment="1">
      <alignment horizontal="center" vertical="center" wrapText="1"/>
    </xf>
    <xf numFmtId="2" fontId="5" fillId="4" borderId="15" xfId="0" applyNumberFormat="1" applyFont="1" applyFill="1" applyBorder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 wrapText="1"/>
    </xf>
    <xf numFmtId="165" fontId="1" fillId="0" borderId="47" xfId="0" applyNumberFormat="1" applyFont="1" applyBorder="1" applyAlignment="1">
      <alignment horizontal="center" vertical="center" wrapText="1"/>
    </xf>
    <xf numFmtId="2" fontId="5" fillId="4" borderId="61" xfId="0" applyNumberFormat="1" applyFont="1" applyFill="1" applyBorder="1" applyAlignment="1">
      <alignment horizontal="center" vertical="center" wrapText="1"/>
    </xf>
    <xf numFmtId="2" fontId="5" fillId="4" borderId="55" xfId="0" applyNumberFormat="1" applyFont="1" applyFill="1" applyBorder="1" applyAlignment="1">
      <alignment horizontal="center" vertical="center" wrapText="1"/>
    </xf>
    <xf numFmtId="2" fontId="5" fillId="4" borderId="44" xfId="0" applyNumberFormat="1" applyFont="1" applyFill="1" applyBorder="1" applyAlignment="1">
      <alignment horizontal="center" vertical="center" wrapText="1"/>
    </xf>
    <xf numFmtId="164" fontId="1" fillId="0" borderId="51" xfId="0" applyNumberFormat="1" applyFont="1" applyBorder="1" applyAlignment="1">
      <alignment horizontal="center" vertical="center" wrapText="1"/>
    </xf>
    <xf numFmtId="164" fontId="1" fillId="0" borderId="47" xfId="0" applyNumberFormat="1" applyFont="1" applyBorder="1" applyAlignment="1">
      <alignment horizontal="center" vertical="center" wrapText="1"/>
    </xf>
    <xf numFmtId="164" fontId="5" fillId="0" borderId="30" xfId="0" applyNumberFormat="1" applyFont="1" applyBorder="1" applyAlignment="1">
      <alignment horizontal="center" vertical="center" wrapText="1"/>
    </xf>
    <xf numFmtId="0" fontId="0" fillId="0" borderId="5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164" fontId="7" fillId="0" borderId="32" xfId="0" applyNumberFormat="1" applyFont="1" applyBorder="1" applyAlignment="1">
      <alignment horizontal="center" vertical="center" wrapText="1"/>
    </xf>
    <xf numFmtId="164" fontId="1" fillId="0" borderId="21" xfId="0" applyNumberFormat="1" applyFont="1" applyBorder="1" applyAlignment="1">
      <alignment horizontal="center" vertical="center" wrapText="1"/>
    </xf>
    <xf numFmtId="164" fontId="1" fillId="0" borderId="32" xfId="0" applyNumberFormat="1" applyFont="1" applyBorder="1" applyAlignment="1">
      <alignment horizontal="center" vertical="center" wrapText="1"/>
    </xf>
    <xf numFmtId="164" fontId="1" fillId="0" borderId="50" xfId="0" applyNumberFormat="1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64" fontId="7" fillId="0" borderId="51" xfId="0" applyNumberFormat="1" applyFont="1" applyBorder="1" applyAlignment="1">
      <alignment horizontal="center" vertical="center" wrapText="1"/>
    </xf>
    <xf numFmtId="164" fontId="7" fillId="0" borderId="57" xfId="0" applyNumberFormat="1" applyFont="1" applyBorder="1" applyAlignment="1">
      <alignment horizontal="center" vertical="center" wrapText="1"/>
    </xf>
    <xf numFmtId="0" fontId="10" fillId="0" borderId="51" xfId="0" applyFont="1" applyBorder="1" applyAlignment="1">
      <alignment horizontal="center" vertical="center"/>
    </xf>
    <xf numFmtId="0" fontId="10" fillId="0" borderId="57" xfId="0" applyFont="1" applyBorder="1" applyAlignment="1">
      <alignment horizontal="center" vertical="center"/>
    </xf>
    <xf numFmtId="0" fontId="10" fillId="0" borderId="29" xfId="0" applyFont="1" applyBorder="1" applyAlignment="1">
      <alignment horizontal="center" vertical="center"/>
    </xf>
    <xf numFmtId="164" fontId="1" fillId="0" borderId="29" xfId="0" applyNumberFormat="1" applyFont="1" applyBorder="1" applyAlignment="1">
      <alignment horizontal="center" vertical="center" wrapText="1"/>
    </xf>
    <xf numFmtId="164" fontId="1" fillId="0" borderId="40" xfId="0" applyNumberFormat="1" applyFont="1" applyBorder="1" applyAlignment="1">
      <alignment horizontal="center" vertical="center" wrapText="1"/>
    </xf>
    <xf numFmtId="164" fontId="1" fillId="0" borderId="52" xfId="0" applyNumberFormat="1" applyFont="1" applyBorder="1" applyAlignment="1">
      <alignment horizontal="center" vertical="center" wrapText="1"/>
    </xf>
    <xf numFmtId="0" fontId="9" fillId="0" borderId="24" xfId="0" applyFont="1" applyBorder="1" applyAlignment="1">
      <alignment horizontal="center" vertical="center"/>
    </xf>
    <xf numFmtId="164" fontId="1" fillId="0" borderId="57" xfId="0" applyNumberFormat="1" applyFont="1" applyBorder="1" applyAlignment="1">
      <alignment horizontal="center" vertical="center" wrapText="1"/>
    </xf>
    <xf numFmtId="164" fontId="7" fillId="0" borderId="29" xfId="0" applyNumberFormat="1" applyFont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0" fillId="3" borderId="5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9" fillId="0" borderId="19" xfId="0" applyFont="1" applyBorder="1" applyAlignment="1">
      <alignment horizontal="center" vertical="center"/>
    </xf>
    <xf numFmtId="0" fontId="9" fillId="9" borderId="1" xfId="0" applyFont="1" applyFill="1" applyBorder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colors>
    <mruColors>
      <color rgb="FFFFFF99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E10"/>
  <sheetViews>
    <sheetView workbookViewId="0">
      <selection activeCell="F6" sqref="F6"/>
    </sheetView>
  </sheetViews>
  <sheetFormatPr defaultRowHeight="14.4" x14ac:dyDescent="0.3"/>
  <sheetData>
    <row r="1" spans="1:5" x14ac:dyDescent="0.3">
      <c r="A1" t="s">
        <v>42</v>
      </c>
    </row>
    <row r="2" spans="1:5" x14ac:dyDescent="0.3">
      <c r="A2" t="s">
        <v>43</v>
      </c>
      <c r="C2" s="86"/>
      <c r="D2" t="s">
        <v>74</v>
      </c>
    </row>
    <row r="4" spans="1:5" x14ac:dyDescent="0.3">
      <c r="A4" t="s">
        <v>44</v>
      </c>
      <c r="D4" s="86"/>
      <c r="E4" t="s">
        <v>45</v>
      </c>
    </row>
    <row r="6" spans="1:5" x14ac:dyDescent="0.3">
      <c r="A6" s="191" t="s">
        <v>47</v>
      </c>
    </row>
    <row r="8" spans="1:5" x14ac:dyDescent="0.3">
      <c r="A8" t="s">
        <v>60</v>
      </c>
    </row>
    <row r="10" spans="1:5" x14ac:dyDescent="0.3">
      <c r="A10" t="s">
        <v>61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1048574"/>
  <sheetViews>
    <sheetView zoomScale="85" zoomScaleNormal="85" workbookViewId="0">
      <pane xSplit="1" ySplit="4" topLeftCell="I29" activePane="bottomRight" state="frozen"/>
      <selection pane="topRight" activeCell="B1" sqref="B1"/>
      <selection pane="bottomLeft" activeCell="A5" sqref="A5"/>
      <selection pane="bottomRight" sqref="A1:AB31"/>
    </sheetView>
  </sheetViews>
  <sheetFormatPr defaultColWidth="9.109375" defaultRowHeight="13.8" x14ac:dyDescent="0.3"/>
  <cols>
    <col min="1" max="5" width="9.109375" style="1"/>
    <col min="6" max="6" width="11.6640625" style="1" bestFit="1" customWidth="1"/>
    <col min="7" max="7" width="9.109375" style="1"/>
    <col min="8" max="8" width="9.44140625" style="1" bestFit="1" customWidth="1"/>
    <col min="9" max="22" width="9.109375" style="1"/>
    <col min="23" max="23" width="9.6640625" style="1" customWidth="1"/>
    <col min="24" max="25" width="9.109375" style="1"/>
    <col min="26" max="26" width="12.109375" style="1" bestFit="1" customWidth="1"/>
    <col min="27" max="27" width="9.109375" style="1"/>
    <col min="28" max="28" width="12.109375" style="1" bestFit="1" customWidth="1"/>
    <col min="29" max="30" width="9.109375" style="1"/>
    <col min="31" max="31" width="10.6640625" style="1" bestFit="1" customWidth="1"/>
    <col min="32" max="16384" width="9.109375" style="1"/>
  </cols>
  <sheetData>
    <row r="1" spans="1:28" ht="12.75" customHeight="1" x14ac:dyDescent="0.3">
      <c r="A1" s="243" t="s">
        <v>0</v>
      </c>
      <c r="B1" s="243"/>
      <c r="C1" s="243"/>
      <c r="D1" s="243"/>
      <c r="E1" s="243"/>
      <c r="F1" s="243"/>
      <c r="G1" s="243"/>
      <c r="H1" s="243"/>
      <c r="I1" s="243"/>
      <c r="J1" s="243"/>
      <c r="K1" s="243"/>
      <c r="L1" s="243"/>
      <c r="M1" s="243"/>
      <c r="N1" s="243"/>
      <c r="O1" s="243"/>
      <c r="P1" s="243"/>
      <c r="Q1" s="243"/>
      <c r="R1" s="243"/>
      <c r="S1" s="243"/>
      <c r="T1" s="243"/>
      <c r="U1" s="243"/>
      <c r="V1" s="243"/>
      <c r="W1" s="243"/>
      <c r="Z1" s="235" t="s">
        <v>1</v>
      </c>
      <c r="AA1" s="235"/>
      <c r="AB1" s="235"/>
    </row>
    <row r="2" spans="1:28" ht="12.75" customHeight="1" x14ac:dyDescent="0.3">
      <c r="A2" s="236" t="s">
        <v>2</v>
      </c>
      <c r="B2" s="242" t="s">
        <v>3</v>
      </c>
      <c r="C2" s="244"/>
      <c r="D2" s="244"/>
      <c r="E2" s="244"/>
      <c r="F2" s="244"/>
      <c r="G2" s="244"/>
      <c r="H2" s="244"/>
      <c r="I2" s="244"/>
      <c r="J2" s="244"/>
      <c r="K2" s="244"/>
      <c r="L2" s="244"/>
      <c r="M2" s="244"/>
      <c r="N2" s="244"/>
      <c r="O2" s="244"/>
      <c r="P2" s="244"/>
      <c r="Q2" s="244"/>
      <c r="R2" s="244"/>
      <c r="S2" s="244"/>
      <c r="T2" s="244"/>
      <c r="U2" s="244"/>
      <c r="V2" s="245"/>
      <c r="W2" s="237" t="s">
        <v>2</v>
      </c>
      <c r="Z2" s="2" t="s">
        <v>4</v>
      </c>
      <c r="AA2" s="240" t="s">
        <v>77</v>
      </c>
      <c r="AB2" s="241"/>
    </row>
    <row r="3" spans="1:28" x14ac:dyDescent="0.3">
      <c r="A3" s="236"/>
      <c r="B3" s="242" t="s">
        <v>22</v>
      </c>
      <c r="C3" s="199" t="s">
        <v>5</v>
      </c>
      <c r="D3" s="3" t="s">
        <v>5</v>
      </c>
      <c r="E3" s="197" t="s">
        <v>5</v>
      </c>
      <c r="F3" s="3" t="s">
        <v>5</v>
      </c>
      <c r="G3" s="3" t="s">
        <v>5</v>
      </c>
      <c r="H3" s="4" t="s">
        <v>5</v>
      </c>
      <c r="I3" s="198" t="s">
        <v>5</v>
      </c>
      <c r="J3" s="198" t="s">
        <v>5</v>
      </c>
      <c r="K3" s="198" t="s">
        <v>5</v>
      </c>
      <c r="L3" s="4" t="s">
        <v>5</v>
      </c>
      <c r="M3" s="198" t="s">
        <v>5</v>
      </c>
      <c r="N3" s="198" t="s">
        <v>5</v>
      </c>
      <c r="O3" s="198" t="s">
        <v>5</v>
      </c>
      <c r="P3" s="198" t="s">
        <v>5</v>
      </c>
      <c r="Q3" s="198" t="s">
        <v>5</v>
      </c>
      <c r="R3" s="198" t="s">
        <v>5</v>
      </c>
      <c r="S3" s="198" t="s">
        <v>5</v>
      </c>
      <c r="T3" s="198" t="s">
        <v>5</v>
      </c>
      <c r="U3" s="198" t="s">
        <v>5</v>
      </c>
      <c r="V3" s="4" t="s">
        <v>5</v>
      </c>
      <c r="W3" s="238"/>
      <c r="Z3" s="2" t="s">
        <v>6</v>
      </c>
      <c r="AA3" s="5">
        <v>100.87</v>
      </c>
      <c r="AB3" s="6" t="s">
        <v>7</v>
      </c>
    </row>
    <row r="4" spans="1:28" x14ac:dyDescent="0.3">
      <c r="A4" s="236"/>
      <c r="B4" s="242"/>
      <c r="C4" s="7">
        <v>0.25</v>
      </c>
      <c r="D4" s="7">
        <v>0.5</v>
      </c>
      <c r="E4" s="8">
        <v>0.75</v>
      </c>
      <c r="F4" s="8">
        <v>1</v>
      </c>
      <c r="G4" s="8">
        <v>1.5</v>
      </c>
      <c r="H4" s="8">
        <v>2</v>
      </c>
      <c r="I4" s="8">
        <v>2.5</v>
      </c>
      <c r="J4" s="9">
        <v>3</v>
      </c>
      <c r="K4" s="9">
        <v>3.5</v>
      </c>
      <c r="L4" s="9">
        <v>4</v>
      </c>
      <c r="M4" s="9">
        <v>4.5</v>
      </c>
      <c r="N4" s="9">
        <v>5</v>
      </c>
      <c r="O4" s="9">
        <v>5.5</v>
      </c>
      <c r="P4" s="9">
        <v>6</v>
      </c>
      <c r="Q4" s="9">
        <v>6.25</v>
      </c>
      <c r="R4" s="9">
        <v>6.5</v>
      </c>
      <c r="S4" s="9">
        <f>AVERAGE(R4,T4)</f>
        <v>6.85</v>
      </c>
      <c r="T4" s="9">
        <f>AVERAGE(R4,V4)</f>
        <v>7.2</v>
      </c>
      <c r="U4" s="9">
        <f>AVERAGE(T4,V4)</f>
        <v>7.5500000000000007</v>
      </c>
      <c r="V4" s="9">
        <v>7.9</v>
      </c>
      <c r="W4" s="239"/>
      <c r="Z4" s="2" t="s">
        <v>8</v>
      </c>
      <c r="AA4" s="5">
        <v>95.07</v>
      </c>
      <c r="AB4" s="6" t="s">
        <v>7</v>
      </c>
    </row>
    <row r="5" spans="1:28" x14ac:dyDescent="0.3">
      <c r="A5" s="10" t="s">
        <v>9</v>
      </c>
      <c r="B5" s="11"/>
      <c r="C5" s="12"/>
      <c r="D5" s="12"/>
      <c r="E5" s="12"/>
      <c r="F5" s="12"/>
      <c r="G5" s="12"/>
      <c r="H5" s="12"/>
      <c r="I5" s="12"/>
      <c r="J5" s="12"/>
      <c r="K5" s="11"/>
      <c r="L5" s="11"/>
      <c r="M5" s="11"/>
      <c r="N5" s="11"/>
      <c r="O5" s="11"/>
      <c r="P5" s="11"/>
      <c r="Q5" s="11"/>
      <c r="R5" s="11">
        <v>0.55049999999999999</v>
      </c>
      <c r="S5" s="11">
        <v>1.3980999999999999</v>
      </c>
      <c r="T5" s="11">
        <v>2.0299999999999998</v>
      </c>
      <c r="U5" s="11">
        <v>2.5747</v>
      </c>
      <c r="V5" s="11">
        <v>3.0575999999999999</v>
      </c>
      <c r="W5" s="10" t="str">
        <f>A5</f>
        <v>Transom</v>
      </c>
      <c r="X5" s="1" t="s">
        <v>10</v>
      </c>
      <c r="Y5" s="13">
        <f>(AA11-AA4)/2</f>
        <v>1.9000000000000057</v>
      </c>
      <c r="Z5" s="2" t="s">
        <v>11</v>
      </c>
      <c r="AA5" s="5">
        <v>16</v>
      </c>
      <c r="AB5" s="6" t="s">
        <v>7</v>
      </c>
    </row>
    <row r="6" spans="1:28" x14ac:dyDescent="0.3">
      <c r="A6" s="10" t="s">
        <v>30</v>
      </c>
      <c r="B6" s="11"/>
      <c r="C6" s="12"/>
      <c r="D6" s="12"/>
      <c r="E6" s="12"/>
      <c r="F6" s="12"/>
      <c r="G6" s="12"/>
      <c r="H6" s="12"/>
      <c r="I6" s="12"/>
      <c r="J6" s="12"/>
      <c r="K6" s="11"/>
      <c r="L6" s="11"/>
      <c r="M6" s="11"/>
      <c r="N6" s="11"/>
      <c r="O6" s="11"/>
      <c r="P6" s="11">
        <v>0.53749999999999998</v>
      </c>
      <c r="Q6" s="11">
        <v>1.083</v>
      </c>
      <c r="R6" s="11">
        <v>1.5934999999999999</v>
      </c>
      <c r="S6" s="11">
        <v>2.21</v>
      </c>
      <c r="T6" s="11">
        <v>2.7515999999999998</v>
      </c>
      <c r="U6" s="11">
        <v>3.2456</v>
      </c>
      <c r="V6" s="11">
        <v>3.7107999999999999</v>
      </c>
      <c r="W6" s="10" t="s">
        <v>30</v>
      </c>
      <c r="Y6" s="13"/>
      <c r="Z6" s="2" t="s">
        <v>13</v>
      </c>
      <c r="AA6" s="5">
        <v>7.9</v>
      </c>
      <c r="AB6" s="6" t="s">
        <v>7</v>
      </c>
    </row>
    <row r="7" spans="1:28" x14ac:dyDescent="0.3">
      <c r="A7" s="10" t="s">
        <v>14</v>
      </c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>
        <v>0.66059999999999997</v>
      </c>
      <c r="P7" s="11">
        <v>1.6519999999999999</v>
      </c>
      <c r="Q7" s="11">
        <v>2.0552000000000001</v>
      </c>
      <c r="R7" s="11">
        <v>2.4420000000000002</v>
      </c>
      <c r="S7" s="11">
        <v>2.9634999999999998</v>
      </c>
      <c r="T7" s="11">
        <v>3.4636999999999998</v>
      </c>
      <c r="U7" s="11">
        <v>3.9378000000000002</v>
      </c>
      <c r="V7" s="11">
        <v>4.3810000000000002</v>
      </c>
      <c r="W7" s="10" t="str">
        <f t="shared" ref="W7:W31" si="0">A7</f>
        <v>AP</v>
      </c>
      <c r="X7" s="1" t="s">
        <v>12</v>
      </c>
      <c r="Y7" s="1">
        <f>Y5</f>
        <v>1.9000000000000057</v>
      </c>
      <c r="Z7" s="2" t="s">
        <v>15</v>
      </c>
      <c r="AA7" s="5">
        <v>6.31</v>
      </c>
      <c r="AB7" s="6" t="s">
        <v>7</v>
      </c>
    </row>
    <row r="8" spans="1:28" x14ac:dyDescent="0.3">
      <c r="A8" s="10">
        <v>0.5</v>
      </c>
      <c r="B8" s="11"/>
      <c r="C8" s="11"/>
      <c r="D8" s="11"/>
      <c r="E8" s="11"/>
      <c r="F8" s="11">
        <v>0.126</v>
      </c>
      <c r="G8" s="11">
        <v>0.40799999999999997</v>
      </c>
      <c r="H8" s="11">
        <v>0.57899999999999996</v>
      </c>
      <c r="I8" s="11">
        <v>0.72599999999999998</v>
      </c>
      <c r="J8" s="11">
        <v>0.84160000000000001</v>
      </c>
      <c r="K8" s="11">
        <v>0.92779999999999996</v>
      </c>
      <c r="L8" s="11">
        <v>1.0851999999999999</v>
      </c>
      <c r="M8" s="11">
        <v>1.4456</v>
      </c>
      <c r="N8" s="11">
        <v>1.9207000000000001</v>
      </c>
      <c r="O8" s="11">
        <v>2.4032</v>
      </c>
      <c r="P8" s="11">
        <v>2.9306000000000001</v>
      </c>
      <c r="Q8" s="11">
        <v>3.2115</v>
      </c>
      <c r="R8" s="11">
        <v>3.5165999999999999</v>
      </c>
      <c r="S8" s="11">
        <v>3.9624999999999999</v>
      </c>
      <c r="T8" s="11">
        <v>4.3792</v>
      </c>
      <c r="U8" s="11">
        <v>4.7765000000000004</v>
      </c>
      <c r="V8" s="11">
        <v>5.1791999999999998</v>
      </c>
      <c r="W8" s="10">
        <f t="shared" si="0"/>
        <v>0.5</v>
      </c>
      <c r="Z8" s="2" t="s">
        <v>16</v>
      </c>
      <c r="AA8" s="5">
        <v>12</v>
      </c>
      <c r="AB8" s="6" t="s">
        <v>17</v>
      </c>
    </row>
    <row r="9" spans="1:28" x14ac:dyDescent="0.3">
      <c r="A9" s="10">
        <v>1</v>
      </c>
      <c r="B9" s="11">
        <v>0</v>
      </c>
      <c r="C9" s="11">
        <v>0.26119999999999999</v>
      </c>
      <c r="D9" s="11">
        <v>0.52129999999999999</v>
      </c>
      <c r="E9" s="11">
        <v>0.72870000000000001</v>
      </c>
      <c r="F9" s="11">
        <v>0.90800000000000003</v>
      </c>
      <c r="G9" s="11">
        <v>1.2141</v>
      </c>
      <c r="H9" s="11">
        <v>1.4761</v>
      </c>
      <c r="I9" s="11">
        <v>1.7166999999999999</v>
      </c>
      <c r="J9" s="11">
        <v>1.9562999999999999</v>
      </c>
      <c r="K9" s="11">
        <v>2.2092999999999998</v>
      </c>
      <c r="L9" s="11">
        <v>2.4784999999999999</v>
      </c>
      <c r="M9" s="11">
        <v>2.7705000000000002</v>
      </c>
      <c r="N9" s="11">
        <v>3.1349</v>
      </c>
      <c r="O9" s="11">
        <v>3.5859000000000001</v>
      </c>
      <c r="P9" s="11">
        <v>4.0891000000000002</v>
      </c>
      <c r="Q9" s="11">
        <v>4.3596000000000004</v>
      </c>
      <c r="R9" s="11">
        <v>4.6355000000000004</v>
      </c>
      <c r="S9" s="11">
        <v>5.0395000000000003</v>
      </c>
      <c r="T9" s="11">
        <v>5.4706000000000001</v>
      </c>
      <c r="U9" s="11">
        <v>5.8747999999999996</v>
      </c>
      <c r="V9" s="11">
        <v>6.2069999999999999</v>
      </c>
      <c r="W9" s="10">
        <f t="shared" si="0"/>
        <v>1</v>
      </c>
    </row>
    <row r="10" spans="1:28" x14ac:dyDescent="0.3">
      <c r="A10" s="10">
        <v>1.5</v>
      </c>
      <c r="B10" s="11">
        <v>1.7999999999999999E-2</v>
      </c>
      <c r="C10" s="11">
        <v>0.68389999999999995</v>
      </c>
      <c r="D10" s="11">
        <v>1.0290999999999999</v>
      </c>
      <c r="E10" s="11">
        <v>1.2899</v>
      </c>
      <c r="F10" s="11">
        <v>1.5044</v>
      </c>
      <c r="G10" s="11">
        <v>1.859</v>
      </c>
      <c r="H10" s="11">
        <v>2.1913</v>
      </c>
      <c r="I10" s="11">
        <v>2.5158999999999998</v>
      </c>
      <c r="J10" s="11">
        <v>2.8159000000000001</v>
      </c>
      <c r="K10" s="11">
        <v>3.1036000000000001</v>
      </c>
      <c r="L10" s="11">
        <v>3.4388000000000001</v>
      </c>
      <c r="M10" s="11">
        <v>3.8022999999999998</v>
      </c>
      <c r="N10" s="11">
        <v>4.2317</v>
      </c>
      <c r="O10" s="11">
        <v>4.7249999999999996</v>
      </c>
      <c r="P10" s="11">
        <v>5.2424999999999997</v>
      </c>
      <c r="Q10" s="11">
        <v>5.5101000000000004</v>
      </c>
      <c r="R10" s="11">
        <v>5.7880000000000003</v>
      </c>
      <c r="S10" s="11">
        <v>8.141</v>
      </c>
      <c r="T10" s="11">
        <v>6.4225000000000003</v>
      </c>
      <c r="U10" s="11">
        <v>6.6539999999999999</v>
      </c>
      <c r="V10" s="11">
        <v>6.8489000000000004</v>
      </c>
      <c r="W10" s="10">
        <v>1.5</v>
      </c>
    </row>
    <row r="11" spans="1:28" x14ac:dyDescent="0.3">
      <c r="A11" s="10">
        <v>2</v>
      </c>
      <c r="B11" s="11">
        <v>7.5999999999999998E-2</v>
      </c>
      <c r="C11" s="11">
        <v>1.0671999999999999</v>
      </c>
      <c r="D11" s="11">
        <v>1.5209999999999999</v>
      </c>
      <c r="E11" s="11">
        <v>1.8552999999999999</v>
      </c>
      <c r="F11" s="11">
        <v>2.1234999999999999</v>
      </c>
      <c r="G11" s="11">
        <v>2.609</v>
      </c>
      <c r="H11" s="11">
        <v>3.0712999999999999</v>
      </c>
      <c r="I11" s="11">
        <v>3.4531000000000001</v>
      </c>
      <c r="J11" s="11">
        <v>3.7938999999999998</v>
      </c>
      <c r="K11" s="11">
        <v>4.1319999999999997</v>
      </c>
      <c r="L11" s="11">
        <v>4.4603999999999999</v>
      </c>
      <c r="M11" s="11">
        <v>4.8563999999999998</v>
      </c>
      <c r="N11" s="11">
        <v>5.2957999999999998</v>
      </c>
      <c r="O11" s="11">
        <v>5.75</v>
      </c>
      <c r="P11" s="11">
        <v>6.2244999999999999</v>
      </c>
      <c r="Q11" s="11">
        <v>6.444</v>
      </c>
      <c r="R11" s="11">
        <v>6.6256000000000004</v>
      </c>
      <c r="S11" s="11">
        <v>6.8285</v>
      </c>
      <c r="T11" s="11">
        <v>6.9941000000000004</v>
      </c>
      <c r="U11" s="11">
        <v>7.1372</v>
      </c>
      <c r="V11" s="11">
        <v>7.2625000000000002</v>
      </c>
      <c r="W11" s="10">
        <f t="shared" si="0"/>
        <v>2</v>
      </c>
      <c r="Z11" s="1" t="s">
        <v>18</v>
      </c>
      <c r="AA11" s="14">
        <v>98.87</v>
      </c>
      <c r="AB11" s="15" t="s">
        <v>7</v>
      </c>
    </row>
    <row r="12" spans="1:28" x14ac:dyDescent="0.3">
      <c r="A12" s="10">
        <v>3</v>
      </c>
      <c r="B12" s="11">
        <v>0.24099999999999999</v>
      </c>
      <c r="C12" s="11">
        <v>2.3513000000000002</v>
      </c>
      <c r="D12" s="11">
        <v>3.0825999999999998</v>
      </c>
      <c r="E12" s="11">
        <v>3.5333999999999999</v>
      </c>
      <c r="F12" s="11">
        <v>3.9110999999999998</v>
      </c>
      <c r="G12" s="11">
        <v>4.5731000000000002</v>
      </c>
      <c r="H12" s="11">
        <v>5.0313999999999997</v>
      </c>
      <c r="I12" s="11">
        <v>5.4565000000000001</v>
      </c>
      <c r="J12" s="11">
        <v>5.8072999999999997</v>
      </c>
      <c r="K12" s="11">
        <v>6.1227</v>
      </c>
      <c r="L12" s="11">
        <v>6.4538000000000002</v>
      </c>
      <c r="M12" s="11">
        <v>6.7876000000000003</v>
      </c>
      <c r="N12" s="11">
        <v>7.1273999999999997</v>
      </c>
      <c r="O12" s="11">
        <v>7.3617999999999997</v>
      </c>
      <c r="P12" s="11">
        <v>7.5007000000000001</v>
      </c>
      <c r="Q12" s="11">
        <v>7.5528000000000004</v>
      </c>
      <c r="R12" s="11">
        <v>7.5998999999999999</v>
      </c>
      <c r="S12" s="11">
        <v>7.6603000000000003</v>
      </c>
      <c r="T12" s="11">
        <v>7.7146999999999997</v>
      </c>
      <c r="U12" s="11">
        <v>7.7633999999999999</v>
      </c>
      <c r="V12" s="11">
        <v>7.8068999999999997</v>
      </c>
      <c r="W12" s="10">
        <f t="shared" si="0"/>
        <v>3</v>
      </c>
      <c r="Z12" s="16" t="s">
        <v>19</v>
      </c>
      <c r="AA12" s="17">
        <v>1.0249999999999999</v>
      </c>
      <c r="AB12" s="15" t="s">
        <v>20</v>
      </c>
    </row>
    <row r="13" spans="1:28" x14ac:dyDescent="0.3">
      <c r="A13" s="10">
        <v>4</v>
      </c>
      <c r="B13" s="11">
        <v>0.53</v>
      </c>
      <c r="C13" s="11">
        <v>4.5380000000000003</v>
      </c>
      <c r="D13" s="11">
        <v>5.2294999999999998</v>
      </c>
      <c r="E13" s="11">
        <v>5.6176000000000004</v>
      </c>
      <c r="F13" s="11">
        <v>5.9420000000000002</v>
      </c>
      <c r="G13" s="11">
        <v>6.4107000000000003</v>
      </c>
      <c r="H13" s="11">
        <v>6.8182</v>
      </c>
      <c r="I13" s="11">
        <v>7.1653000000000002</v>
      </c>
      <c r="J13" s="11">
        <v>7.4386999999999999</v>
      </c>
      <c r="K13" s="11">
        <v>7.6449999999999996</v>
      </c>
      <c r="L13" s="11">
        <v>7.7888000000000002</v>
      </c>
      <c r="M13" s="11">
        <v>7.8757000000000001</v>
      </c>
      <c r="N13" s="11">
        <v>7.9268999999999998</v>
      </c>
      <c r="O13" s="11">
        <v>7.9618000000000002</v>
      </c>
      <c r="P13" s="11">
        <v>7.9875999999999996</v>
      </c>
      <c r="Q13" s="11">
        <v>7.9984000000000002</v>
      </c>
      <c r="R13" s="11">
        <v>8.0084</v>
      </c>
      <c r="S13" s="11">
        <v>8.0214999999999996</v>
      </c>
      <c r="T13" s="11">
        <v>8.0335000000000001</v>
      </c>
      <c r="U13" s="11">
        <v>8.0444999999999993</v>
      </c>
      <c r="V13" s="11">
        <v>8.0545000000000009</v>
      </c>
      <c r="W13" s="10">
        <f t="shared" si="0"/>
        <v>4</v>
      </c>
    </row>
    <row r="14" spans="1:28" x14ac:dyDescent="0.3">
      <c r="A14" s="10">
        <v>5</v>
      </c>
      <c r="B14" s="11">
        <v>1.075</v>
      </c>
      <c r="C14" s="11">
        <v>6.5491000000000001</v>
      </c>
      <c r="D14" s="11">
        <v>6.9298000000000002</v>
      </c>
      <c r="E14" s="11">
        <v>7.2003000000000004</v>
      </c>
      <c r="F14" s="11">
        <v>7.4073000000000002</v>
      </c>
      <c r="G14" s="11">
        <v>7.6882000000000001</v>
      </c>
      <c r="H14" s="11">
        <v>7.9081000000000001</v>
      </c>
      <c r="I14" s="11">
        <v>8.0207999999999995</v>
      </c>
      <c r="J14" s="11">
        <v>8.0663999999999998</v>
      </c>
      <c r="K14" s="11">
        <v>8.0914000000000001</v>
      </c>
      <c r="L14" s="11">
        <v>8.1066000000000003</v>
      </c>
      <c r="M14" s="11">
        <v>8.1149000000000004</v>
      </c>
      <c r="N14" s="11">
        <v>8.1196000000000002</v>
      </c>
      <c r="O14" s="11">
        <v>8.1232000000000006</v>
      </c>
      <c r="P14" s="11">
        <v>8.1263000000000005</v>
      </c>
      <c r="Q14" s="11">
        <v>8.1275999999999993</v>
      </c>
      <c r="R14" s="11">
        <v>8.1288999999999998</v>
      </c>
      <c r="S14" s="11">
        <v>8.1304999999999996</v>
      </c>
      <c r="T14" s="11">
        <v>8.1318999999999999</v>
      </c>
      <c r="U14" s="11">
        <v>8.1332000000000004</v>
      </c>
      <c r="V14" s="11">
        <v>8.1342999999999996</v>
      </c>
      <c r="W14" s="10">
        <f t="shared" si="0"/>
        <v>5</v>
      </c>
      <c r="AB14" s="15"/>
    </row>
    <row r="15" spans="1:28" x14ac:dyDescent="0.3">
      <c r="A15" s="10">
        <v>6</v>
      </c>
      <c r="B15" s="11">
        <v>2.9790000000000001</v>
      </c>
      <c r="C15" s="11">
        <v>7.4683000000000002</v>
      </c>
      <c r="D15" s="11">
        <v>7.7649999999999997</v>
      </c>
      <c r="E15" s="11">
        <v>7.9116</v>
      </c>
      <c r="F15" s="11">
        <v>8.0007999999999999</v>
      </c>
      <c r="G15" s="11">
        <v>8.0995000000000008</v>
      </c>
      <c r="H15" s="11">
        <v>8.1225000000000005</v>
      </c>
      <c r="I15" s="11">
        <v>8.1308000000000007</v>
      </c>
      <c r="J15" s="11">
        <v>8.1437000000000008</v>
      </c>
      <c r="K15" s="11">
        <v>8.1405999999999992</v>
      </c>
      <c r="L15" s="11">
        <v>8.1418999999999997</v>
      </c>
      <c r="M15" s="11">
        <v>8.1425999999999998</v>
      </c>
      <c r="N15" s="11">
        <v>8.1431000000000004</v>
      </c>
      <c r="O15" s="11">
        <v>8.1433999999999997</v>
      </c>
      <c r="P15" s="11">
        <v>8.1438000000000006</v>
      </c>
      <c r="Q15" s="11">
        <v>8.1440000000000001</v>
      </c>
      <c r="R15" s="11">
        <v>8.1440000000000001</v>
      </c>
      <c r="S15" s="11">
        <v>8.1440000000000001</v>
      </c>
      <c r="T15" s="11">
        <v>8.1440000000000001</v>
      </c>
      <c r="U15" s="11">
        <v>8.1440000000000001</v>
      </c>
      <c r="V15" s="11">
        <v>8.1440000000000001</v>
      </c>
      <c r="W15" s="10">
        <f t="shared" si="0"/>
        <v>6</v>
      </c>
    </row>
    <row r="16" spans="1:28" x14ac:dyDescent="0.3">
      <c r="A16" s="10">
        <v>7</v>
      </c>
      <c r="B16" s="11">
        <v>6.5716000000000001</v>
      </c>
      <c r="C16" s="11">
        <v>7.8266</v>
      </c>
      <c r="D16" s="11">
        <v>8.0091999999999999</v>
      </c>
      <c r="E16" s="11">
        <v>8.0868000000000002</v>
      </c>
      <c r="F16" s="11">
        <v>8.1173000000000002</v>
      </c>
      <c r="G16" s="11">
        <v>8.1321999999999992</v>
      </c>
      <c r="H16" s="11">
        <v>8.1382999999999992</v>
      </c>
      <c r="I16" s="11">
        <v>8.1420999999999992</v>
      </c>
      <c r="J16" s="11">
        <v>8.1440000000000001</v>
      </c>
      <c r="K16" s="11">
        <v>8.1440000000000001</v>
      </c>
      <c r="L16" s="11">
        <v>8.1440000000000001</v>
      </c>
      <c r="M16" s="11">
        <v>8.1440000000000001</v>
      </c>
      <c r="N16" s="11">
        <v>8.1440000000000001</v>
      </c>
      <c r="O16" s="11">
        <v>8.1440000000000001</v>
      </c>
      <c r="P16" s="11">
        <v>8.1440000000000001</v>
      </c>
      <c r="Q16" s="11">
        <v>8.1440000000000001</v>
      </c>
      <c r="R16" s="11">
        <v>8.1440000000000001</v>
      </c>
      <c r="S16" s="11">
        <v>8.1440000000000001</v>
      </c>
      <c r="T16" s="11">
        <v>8.1440000000000001</v>
      </c>
      <c r="U16" s="11">
        <v>8.1440000000000001</v>
      </c>
      <c r="V16" s="11">
        <v>8.1440000000000001</v>
      </c>
      <c r="W16" s="10">
        <f t="shared" si="0"/>
        <v>7</v>
      </c>
    </row>
    <row r="17" spans="1:23" x14ac:dyDescent="0.3">
      <c r="A17" s="10">
        <v>8</v>
      </c>
      <c r="B17" s="11">
        <v>6.5716000000000001</v>
      </c>
      <c r="C17" s="11">
        <v>8.1440000000000001</v>
      </c>
      <c r="D17" s="11">
        <v>8.1440000000000001</v>
      </c>
      <c r="E17" s="11">
        <v>8.1440000000000001</v>
      </c>
      <c r="F17" s="11">
        <v>8.1440000000000001</v>
      </c>
      <c r="G17" s="11">
        <v>8.1440000000000001</v>
      </c>
      <c r="H17" s="11">
        <v>8.1440000000000001</v>
      </c>
      <c r="I17" s="11">
        <v>8.1440000000000001</v>
      </c>
      <c r="J17" s="11">
        <v>8.1440000000000001</v>
      </c>
      <c r="K17" s="11">
        <v>8.1440000000000001</v>
      </c>
      <c r="L17" s="11">
        <v>8.1440000000000001</v>
      </c>
      <c r="M17" s="11">
        <v>8.1440000000000001</v>
      </c>
      <c r="N17" s="11">
        <v>8.1440000000000001</v>
      </c>
      <c r="O17" s="11">
        <v>8.1440000000000001</v>
      </c>
      <c r="P17" s="11">
        <v>8.1440000000000001</v>
      </c>
      <c r="Q17" s="11">
        <v>8.1440000000000001</v>
      </c>
      <c r="R17" s="11">
        <v>8.1440000000000001</v>
      </c>
      <c r="S17" s="11">
        <v>8.1440000000000001</v>
      </c>
      <c r="T17" s="11">
        <v>8.1440000000000001</v>
      </c>
      <c r="U17" s="11">
        <v>8.1440000000000001</v>
      </c>
      <c r="V17" s="11">
        <v>8.1440000000000001</v>
      </c>
      <c r="W17" s="10">
        <f t="shared" si="0"/>
        <v>8</v>
      </c>
    </row>
    <row r="18" spans="1:23" x14ac:dyDescent="0.3">
      <c r="A18" s="10">
        <v>9</v>
      </c>
      <c r="B18" s="11">
        <v>6.5716000000000001</v>
      </c>
      <c r="C18" s="11">
        <v>8.1440000000000001</v>
      </c>
      <c r="D18" s="11">
        <v>8.1440000000000001</v>
      </c>
      <c r="E18" s="11">
        <v>8.1440000000000001</v>
      </c>
      <c r="F18" s="11">
        <v>8.1440000000000001</v>
      </c>
      <c r="G18" s="11">
        <v>8.1440000000000001</v>
      </c>
      <c r="H18" s="11">
        <v>8.1440000000000001</v>
      </c>
      <c r="I18" s="11">
        <v>8.1440000000000001</v>
      </c>
      <c r="J18" s="11">
        <v>8.1440000000000001</v>
      </c>
      <c r="K18" s="11">
        <v>8.1440000000000001</v>
      </c>
      <c r="L18" s="11">
        <v>8.1440000000000001</v>
      </c>
      <c r="M18" s="11">
        <v>8.1440000000000001</v>
      </c>
      <c r="N18" s="11">
        <v>8.1440000000000001</v>
      </c>
      <c r="O18" s="11">
        <v>8.1440000000000001</v>
      </c>
      <c r="P18" s="11">
        <v>8.1440000000000001</v>
      </c>
      <c r="Q18" s="11">
        <v>8.1440000000000001</v>
      </c>
      <c r="R18" s="11">
        <v>8.1440000000000001</v>
      </c>
      <c r="S18" s="11">
        <v>8.1440000000000001</v>
      </c>
      <c r="T18" s="11">
        <v>8.1440000000000001</v>
      </c>
      <c r="U18" s="11">
        <v>8.1440000000000001</v>
      </c>
      <c r="V18" s="11">
        <v>8.1440000000000001</v>
      </c>
      <c r="W18" s="10">
        <f t="shared" si="0"/>
        <v>9</v>
      </c>
    </row>
    <row r="19" spans="1:23" x14ac:dyDescent="0.3">
      <c r="A19" s="10">
        <v>10</v>
      </c>
      <c r="B19" s="11">
        <v>6.5716000000000001</v>
      </c>
      <c r="C19" s="11">
        <v>8.1440000000000001</v>
      </c>
      <c r="D19" s="11">
        <v>8.1440000000000001</v>
      </c>
      <c r="E19" s="11">
        <v>8.1440000000000001</v>
      </c>
      <c r="F19" s="11">
        <v>8.1440000000000001</v>
      </c>
      <c r="G19" s="11">
        <v>8.1440000000000001</v>
      </c>
      <c r="H19" s="11">
        <v>8.1440000000000001</v>
      </c>
      <c r="I19" s="11">
        <v>8.1440000000000001</v>
      </c>
      <c r="J19" s="11">
        <v>8.1440000000000001</v>
      </c>
      <c r="K19" s="11">
        <v>8.1440000000000001</v>
      </c>
      <c r="L19" s="11">
        <v>8.1440000000000001</v>
      </c>
      <c r="M19" s="11">
        <v>8.1440000000000001</v>
      </c>
      <c r="N19" s="11">
        <v>8.1440000000000001</v>
      </c>
      <c r="O19" s="11">
        <v>8.1440000000000001</v>
      </c>
      <c r="P19" s="11">
        <v>8.1440000000000001</v>
      </c>
      <c r="Q19" s="11">
        <v>8.1440000000000001</v>
      </c>
      <c r="R19" s="11">
        <v>8.1440000000000001</v>
      </c>
      <c r="S19" s="11">
        <v>8.1440000000000001</v>
      </c>
      <c r="T19" s="11">
        <v>8.1440000000000001</v>
      </c>
      <c r="U19" s="11">
        <v>8.1440000000000001</v>
      </c>
      <c r="V19" s="11">
        <v>8.1440000000000001</v>
      </c>
      <c r="W19" s="10">
        <f t="shared" si="0"/>
        <v>10</v>
      </c>
    </row>
    <row r="20" spans="1:23" x14ac:dyDescent="0.3">
      <c r="A20" s="10">
        <v>11</v>
      </c>
      <c r="B20" s="11">
        <v>6.5716000000000001</v>
      </c>
      <c r="C20" s="11">
        <v>8.1440000000000001</v>
      </c>
      <c r="D20" s="11">
        <v>8.1440000000000001</v>
      </c>
      <c r="E20" s="11">
        <v>8.1440000000000001</v>
      </c>
      <c r="F20" s="11">
        <v>8.1440000000000001</v>
      </c>
      <c r="G20" s="11">
        <v>8.1440000000000001</v>
      </c>
      <c r="H20" s="11">
        <v>8.1440000000000001</v>
      </c>
      <c r="I20" s="11">
        <v>8.1440000000000001</v>
      </c>
      <c r="J20" s="11">
        <v>8.1440000000000001</v>
      </c>
      <c r="K20" s="11">
        <v>8.1440000000000001</v>
      </c>
      <c r="L20" s="11">
        <v>8.1440000000000001</v>
      </c>
      <c r="M20" s="11">
        <v>8.1440000000000001</v>
      </c>
      <c r="N20" s="11">
        <v>8.1440000000000001</v>
      </c>
      <c r="O20" s="11">
        <v>8.1440000000000001</v>
      </c>
      <c r="P20" s="11">
        <v>8.1440000000000001</v>
      </c>
      <c r="Q20" s="11">
        <v>8.1440000000000001</v>
      </c>
      <c r="R20" s="11">
        <v>8.1440000000000001</v>
      </c>
      <c r="S20" s="11">
        <v>8.1440000000000001</v>
      </c>
      <c r="T20" s="11">
        <v>8.1440000000000001</v>
      </c>
      <c r="U20" s="11">
        <v>8.1440000000000001</v>
      </c>
      <c r="V20" s="11">
        <v>8.1440000000000001</v>
      </c>
      <c r="W20" s="10">
        <f t="shared" si="0"/>
        <v>11</v>
      </c>
    </row>
    <row r="21" spans="1:23" x14ac:dyDescent="0.3">
      <c r="A21" s="10">
        <v>12</v>
      </c>
      <c r="B21" s="11">
        <v>6.5716000000000001</v>
      </c>
      <c r="C21" s="11">
        <v>8.1440000000000001</v>
      </c>
      <c r="D21" s="11">
        <v>8.1440000000000001</v>
      </c>
      <c r="E21" s="11">
        <v>8.1440000000000001</v>
      </c>
      <c r="F21" s="11">
        <v>8.1440000000000001</v>
      </c>
      <c r="G21" s="11">
        <v>8.1440000000000001</v>
      </c>
      <c r="H21" s="11">
        <v>8.1440000000000001</v>
      </c>
      <c r="I21" s="11">
        <v>8.1440000000000001</v>
      </c>
      <c r="J21" s="11">
        <v>8.1440000000000001</v>
      </c>
      <c r="K21" s="11">
        <v>8.1440000000000001</v>
      </c>
      <c r="L21" s="11">
        <v>8.1440000000000001</v>
      </c>
      <c r="M21" s="11">
        <v>8.1440000000000001</v>
      </c>
      <c r="N21" s="11">
        <v>8.1440000000000001</v>
      </c>
      <c r="O21" s="11">
        <v>8.1440000000000001</v>
      </c>
      <c r="P21" s="11">
        <v>8.1440000000000001</v>
      </c>
      <c r="Q21" s="11">
        <v>8.1440000000000001</v>
      </c>
      <c r="R21" s="11">
        <v>8.1440000000000001</v>
      </c>
      <c r="S21" s="11">
        <v>8.1440000000000001</v>
      </c>
      <c r="T21" s="11">
        <v>8.1440000000000001</v>
      </c>
      <c r="U21" s="11">
        <v>8.1440000000000001</v>
      </c>
      <c r="V21" s="11">
        <v>8.1440000000000001</v>
      </c>
      <c r="W21" s="10">
        <f t="shared" si="0"/>
        <v>12</v>
      </c>
    </row>
    <row r="22" spans="1:23" x14ac:dyDescent="0.3">
      <c r="A22" s="10">
        <v>13</v>
      </c>
      <c r="B22" s="11">
        <v>6.8470000000000004</v>
      </c>
      <c r="C22" s="11">
        <v>8.1440000000000001</v>
      </c>
      <c r="D22" s="11">
        <v>8.1440000000000001</v>
      </c>
      <c r="E22" s="11">
        <v>8.1440000000000001</v>
      </c>
      <c r="F22" s="11">
        <v>8.1440000000000001</v>
      </c>
      <c r="G22" s="11">
        <v>8.1440000000000001</v>
      </c>
      <c r="H22" s="11">
        <v>8.1440000000000001</v>
      </c>
      <c r="I22" s="11">
        <v>8.1440000000000001</v>
      </c>
      <c r="J22" s="11">
        <v>8.1440000000000001</v>
      </c>
      <c r="K22" s="11">
        <v>8.1440000000000001</v>
      </c>
      <c r="L22" s="11">
        <v>8.1440000000000001</v>
      </c>
      <c r="M22" s="11">
        <v>8.1440000000000001</v>
      </c>
      <c r="N22" s="11">
        <v>8.1440000000000001</v>
      </c>
      <c r="O22" s="11">
        <v>8.1440000000000001</v>
      </c>
      <c r="P22" s="11">
        <v>8.1440000000000001</v>
      </c>
      <c r="Q22" s="11">
        <v>8.1440000000000001</v>
      </c>
      <c r="R22" s="11">
        <v>8.1440000000000001</v>
      </c>
      <c r="S22" s="11">
        <v>8.1440000000000001</v>
      </c>
      <c r="T22" s="11">
        <v>8.1440000000000001</v>
      </c>
      <c r="U22" s="11">
        <v>8.1440000000000001</v>
      </c>
      <c r="V22" s="11">
        <v>8.1440000000000001</v>
      </c>
      <c r="W22" s="10">
        <f t="shared" si="0"/>
        <v>13</v>
      </c>
    </row>
    <row r="23" spans="1:23" x14ac:dyDescent="0.3">
      <c r="A23" s="10">
        <v>14</v>
      </c>
      <c r="B23" s="11">
        <v>6.6970000000000001</v>
      </c>
      <c r="C23" s="11">
        <v>7.8209999999999997</v>
      </c>
      <c r="D23" s="11">
        <v>8.0076000000000001</v>
      </c>
      <c r="E23" s="11">
        <v>8.0839999999999996</v>
      </c>
      <c r="F23" s="11">
        <v>8.1143999999999998</v>
      </c>
      <c r="G23" s="11">
        <v>8.1303999999999998</v>
      </c>
      <c r="H23" s="11">
        <v>8.1372999999999998</v>
      </c>
      <c r="I23" s="11">
        <v>8.1411999999999995</v>
      </c>
      <c r="J23" s="11">
        <v>8.1434999999999995</v>
      </c>
      <c r="K23" s="11">
        <v>8.1440000000000001</v>
      </c>
      <c r="L23" s="11">
        <v>8.1440000000000001</v>
      </c>
      <c r="M23" s="11">
        <v>8.1440000000000001</v>
      </c>
      <c r="N23" s="11">
        <v>8.1440000000000001</v>
      </c>
      <c r="O23" s="11">
        <v>8.1440000000000001</v>
      </c>
      <c r="P23" s="11">
        <v>8.1440000000000001</v>
      </c>
      <c r="Q23" s="11">
        <v>8.1440000000000001</v>
      </c>
      <c r="R23" s="11">
        <v>8.1440000000000001</v>
      </c>
      <c r="S23" s="11">
        <v>8.1440000000000001</v>
      </c>
      <c r="T23" s="11">
        <v>8.1440000000000001</v>
      </c>
      <c r="U23" s="11">
        <v>8.1440000000000001</v>
      </c>
      <c r="V23" s="11">
        <v>8.1440000000000001</v>
      </c>
      <c r="W23" s="10">
        <f t="shared" si="0"/>
        <v>14</v>
      </c>
    </row>
    <row r="24" spans="1:23" x14ac:dyDescent="0.3">
      <c r="A24" s="10">
        <v>15</v>
      </c>
      <c r="B24" s="11">
        <v>6.3049999999999997</v>
      </c>
      <c r="C24" s="11">
        <v>7.1980000000000004</v>
      </c>
      <c r="D24" s="11">
        <v>7.5349000000000004</v>
      </c>
      <c r="E24" s="11">
        <v>7.7168999999999999</v>
      </c>
      <c r="F24" s="11">
        <v>7.8232999999999997</v>
      </c>
      <c r="G24" s="11">
        <v>7.9036</v>
      </c>
      <c r="H24" s="11">
        <v>7.9396000000000004</v>
      </c>
      <c r="I24" s="11">
        <v>7.9702999999999999</v>
      </c>
      <c r="J24" s="11">
        <v>7.9987000000000004</v>
      </c>
      <c r="K24" s="11">
        <v>8.0252999999999997</v>
      </c>
      <c r="L24" s="11">
        <v>8.0498999999999992</v>
      </c>
      <c r="M24" s="11">
        <v>8.0716000000000001</v>
      </c>
      <c r="N24" s="11">
        <v>8.0894999999999992</v>
      </c>
      <c r="O24" s="11">
        <v>8.1029</v>
      </c>
      <c r="P24" s="11">
        <v>8.1125000000000007</v>
      </c>
      <c r="Q24" s="11">
        <v>8.1164000000000005</v>
      </c>
      <c r="R24" s="11">
        <v>8.1197999999999997</v>
      </c>
      <c r="S24" s="11">
        <v>8.1239000000000008</v>
      </c>
      <c r="T24" s="11">
        <v>8.1273999999999997</v>
      </c>
      <c r="U24" s="11">
        <v>8.1303000000000001</v>
      </c>
      <c r="V24" s="11">
        <v>8.1326999999999998</v>
      </c>
      <c r="W24" s="10">
        <f t="shared" si="0"/>
        <v>15</v>
      </c>
    </row>
    <row r="25" spans="1:23" x14ac:dyDescent="0.3">
      <c r="A25" s="10">
        <v>16</v>
      </c>
      <c r="B25" s="11">
        <v>5.6559999999999997</v>
      </c>
      <c r="C25" s="11">
        <v>6.4987000000000004</v>
      </c>
      <c r="D25" s="11">
        <v>6.9375</v>
      </c>
      <c r="E25" s="11">
        <v>7.1730999999999998</v>
      </c>
      <c r="F25" s="11">
        <v>7.3152999999999997</v>
      </c>
      <c r="G25" s="11">
        <v>7.4522000000000004</v>
      </c>
      <c r="H25" s="11">
        <v>7.5353000000000003</v>
      </c>
      <c r="I25" s="11">
        <v>7.5990000000000002</v>
      </c>
      <c r="J25" s="11">
        <v>7.6513999999999998</v>
      </c>
      <c r="K25" s="11">
        <v>7.7001999999999997</v>
      </c>
      <c r="L25" s="11">
        <v>7.7468000000000004</v>
      </c>
      <c r="M25" s="11">
        <v>7.7908999999999997</v>
      </c>
      <c r="N25" s="11">
        <v>7.8337000000000003</v>
      </c>
      <c r="O25" s="11">
        <v>7.8756000000000004</v>
      </c>
      <c r="P25" s="11">
        <v>7.9147999999999996</v>
      </c>
      <c r="Q25" s="11">
        <v>7.9328000000000003</v>
      </c>
      <c r="R25" s="11">
        <v>7.9492000000000003</v>
      </c>
      <c r="S25" s="11">
        <v>7.9696999999999996</v>
      </c>
      <c r="T25" s="11">
        <v>7.9574999999999996</v>
      </c>
      <c r="U25" s="11">
        <v>8.0031999999999996</v>
      </c>
      <c r="V25" s="11">
        <v>8.0167999999999999</v>
      </c>
      <c r="W25" s="10">
        <f t="shared" si="0"/>
        <v>16</v>
      </c>
    </row>
    <row r="26" spans="1:23" x14ac:dyDescent="0.3">
      <c r="A26" s="10">
        <v>17</v>
      </c>
      <c r="B26" s="11">
        <v>4.673</v>
      </c>
      <c r="C26" s="11">
        <v>5.6067999999999998</v>
      </c>
      <c r="D26" s="11">
        <v>6.0399000000000003</v>
      </c>
      <c r="E26" s="11">
        <v>6.2976999999999999</v>
      </c>
      <c r="F26" s="11">
        <v>6.4649999999999999</v>
      </c>
      <c r="G26" s="11">
        <v>6.6569000000000003</v>
      </c>
      <c r="H26" s="11">
        <v>6.7866</v>
      </c>
      <c r="I26" s="11">
        <v>6.8987999999999996</v>
      </c>
      <c r="J26" s="11">
        <v>6.9984999999999999</v>
      </c>
      <c r="K26" s="11">
        <v>7.0842999999999998</v>
      </c>
      <c r="L26" s="11">
        <v>7.1574999999999998</v>
      </c>
      <c r="M26" s="11">
        <v>7.2222</v>
      </c>
      <c r="N26" s="11">
        <v>7.2809999999999997</v>
      </c>
      <c r="O26" s="11">
        <v>7.3356000000000003</v>
      </c>
      <c r="P26" s="11">
        <v>7.3863000000000003</v>
      </c>
      <c r="Q26" s="11">
        <v>7.4101999999999997</v>
      </c>
      <c r="R26" s="11">
        <v>7.4332000000000003</v>
      </c>
      <c r="S26" s="11">
        <v>7.4638999999999998</v>
      </c>
      <c r="T26" s="11">
        <v>7.4930000000000003</v>
      </c>
      <c r="U26" s="11">
        <v>7.5208000000000004</v>
      </c>
      <c r="V26" s="11">
        <v>7.5472999999999999</v>
      </c>
      <c r="W26" s="10">
        <f t="shared" si="0"/>
        <v>17</v>
      </c>
    </row>
    <row r="27" spans="1:23" x14ac:dyDescent="0.3">
      <c r="A27" s="10">
        <v>18</v>
      </c>
      <c r="B27" s="11">
        <v>3.1789999999999998</v>
      </c>
      <c r="C27" s="11">
        <v>4.3305999999999996</v>
      </c>
      <c r="D27" s="11">
        <v>4.6711</v>
      </c>
      <c r="E27" s="11">
        <v>4.8921000000000001</v>
      </c>
      <c r="F27" s="11">
        <v>5.0568999999999997</v>
      </c>
      <c r="G27" s="11">
        <v>5.2984</v>
      </c>
      <c r="H27" s="11">
        <v>5.4752999999999998</v>
      </c>
      <c r="I27" s="11">
        <v>5.6300999999999997</v>
      </c>
      <c r="J27" s="11">
        <v>5.7756999999999996</v>
      </c>
      <c r="K27" s="11">
        <v>5.9154</v>
      </c>
      <c r="L27" s="11">
        <v>6.0419</v>
      </c>
      <c r="M27" s="11">
        <v>6.1513</v>
      </c>
      <c r="N27" s="11">
        <v>6.2465000000000002</v>
      </c>
      <c r="O27" s="11">
        <v>6.3304</v>
      </c>
      <c r="P27" s="11">
        <v>6.4053000000000004</v>
      </c>
      <c r="Q27" s="11">
        <v>6.4401999999999999</v>
      </c>
      <c r="R27" s="11">
        <v>6.4736000000000002</v>
      </c>
      <c r="S27" s="11">
        <v>6.5183</v>
      </c>
      <c r="T27" s="11">
        <v>6.5606</v>
      </c>
      <c r="U27" s="11">
        <v>6.6012000000000004</v>
      </c>
      <c r="V27" s="11">
        <v>6.6398999999999999</v>
      </c>
      <c r="W27" s="10">
        <f t="shared" si="0"/>
        <v>18</v>
      </c>
    </row>
    <row r="28" spans="1:23" x14ac:dyDescent="0.3">
      <c r="A28" s="10">
        <v>18.5</v>
      </c>
      <c r="B28" s="11">
        <v>2.1280000000000001</v>
      </c>
      <c r="C28" s="11">
        <v>3.3748999999999998</v>
      </c>
      <c r="D28" s="11">
        <v>3.6999</v>
      </c>
      <c r="E28" s="11">
        <v>3.8942000000000001</v>
      </c>
      <c r="F28" s="11">
        <v>4.0415000000000001</v>
      </c>
      <c r="G28" s="11">
        <v>4.2907000000000002</v>
      </c>
      <c r="H28" s="11">
        <v>4.4932999999999996</v>
      </c>
      <c r="I28" s="11">
        <v>4.6650999999999998</v>
      </c>
      <c r="J28" s="11">
        <v>4.8253000000000004</v>
      </c>
      <c r="K28" s="11">
        <v>4.9787999999999997</v>
      </c>
      <c r="L28" s="11">
        <v>5.1276999999999999</v>
      </c>
      <c r="M28" s="11">
        <v>5.2645999999999997</v>
      </c>
      <c r="N28" s="11">
        <v>5.8920000000000003</v>
      </c>
      <c r="O28" s="11">
        <v>5.4962</v>
      </c>
      <c r="P28" s="11">
        <v>5.5946999999999996</v>
      </c>
      <c r="Q28" s="11">
        <v>5.6402999999999999</v>
      </c>
      <c r="R28" s="11">
        <v>5.6837</v>
      </c>
      <c r="S28" s="11">
        <v>5.7411000000000003</v>
      </c>
      <c r="T28" s="11">
        <v>5.7948000000000004</v>
      </c>
      <c r="U28" s="11">
        <v>5.8451000000000004</v>
      </c>
      <c r="V28" s="11">
        <v>5.8921999999999999</v>
      </c>
      <c r="W28" s="10">
        <f t="shared" si="0"/>
        <v>18.5</v>
      </c>
    </row>
    <row r="29" spans="1:23" x14ac:dyDescent="0.3">
      <c r="A29" s="10">
        <v>19</v>
      </c>
      <c r="B29" s="11">
        <v>0.753</v>
      </c>
      <c r="C29" s="11">
        <v>2.0131000000000001</v>
      </c>
      <c r="D29" s="11">
        <v>2.4033000000000002</v>
      </c>
      <c r="E29" s="11">
        <v>2.5996999999999999</v>
      </c>
      <c r="F29" s="11">
        <v>2.7414000000000001</v>
      </c>
      <c r="G29" s="11">
        <v>2.9796</v>
      </c>
      <c r="H29" s="11">
        <v>3.2048999999999999</v>
      </c>
      <c r="I29" s="11">
        <v>3.3936999999999999</v>
      </c>
      <c r="J29" s="11">
        <v>3.5577999999999999</v>
      </c>
      <c r="K29" s="11">
        <v>3.7153</v>
      </c>
      <c r="L29" s="11">
        <v>3.8693</v>
      </c>
      <c r="M29" s="11">
        <v>4.0189000000000004</v>
      </c>
      <c r="N29" s="11">
        <v>4.16</v>
      </c>
      <c r="O29" s="11">
        <v>4.2919999999999998</v>
      </c>
      <c r="P29" s="11">
        <v>4.4134000000000002</v>
      </c>
      <c r="Q29" s="11">
        <v>4.4714</v>
      </c>
      <c r="R29" s="11">
        <v>4.5270000000000001</v>
      </c>
      <c r="S29" s="11">
        <v>4.5986000000000002</v>
      </c>
      <c r="T29" s="11">
        <v>4.6572199999999997</v>
      </c>
      <c r="U29" s="11">
        <v>4.7413999999999996</v>
      </c>
      <c r="V29" s="11">
        <v>4.8063000000000002</v>
      </c>
      <c r="W29" s="10">
        <f t="shared" si="0"/>
        <v>19</v>
      </c>
    </row>
    <row r="30" spans="1:23" x14ac:dyDescent="0.3">
      <c r="A30" s="10">
        <v>19.5</v>
      </c>
      <c r="B30" s="11">
        <v>0</v>
      </c>
      <c r="C30" s="11">
        <v>0</v>
      </c>
      <c r="D30" s="11">
        <v>0.41099999999999998</v>
      </c>
      <c r="E30" s="11">
        <v>0.7389</v>
      </c>
      <c r="F30" s="11">
        <v>0.94689999999999996</v>
      </c>
      <c r="G30" s="11">
        <v>1.1990000000000001</v>
      </c>
      <c r="H30" s="11">
        <v>1.4209000000000001</v>
      </c>
      <c r="I30" s="11">
        <v>1.629</v>
      </c>
      <c r="J30" s="11">
        <v>1.8140000000000001</v>
      </c>
      <c r="K30" s="11">
        <v>1.9724999999999999</v>
      </c>
      <c r="L30" s="11">
        <v>2.1211000000000002</v>
      </c>
      <c r="M30" s="11">
        <v>2.2650000000000001</v>
      </c>
      <c r="N30" s="11">
        <v>2.4045999999999998</v>
      </c>
      <c r="O30" s="11">
        <v>2.5406</v>
      </c>
      <c r="P30" s="11">
        <v>2.6728999999999998</v>
      </c>
      <c r="Q30" s="11">
        <v>2.7376</v>
      </c>
      <c r="R30" s="11">
        <v>2.8012999999999999</v>
      </c>
      <c r="S30" s="11">
        <v>2.8885000000000001</v>
      </c>
      <c r="T30" s="11">
        <v>2.9731000000000001</v>
      </c>
      <c r="U30" s="11">
        <v>3.0548999999999999</v>
      </c>
      <c r="V30" s="11">
        <v>3.3134299999999999</v>
      </c>
      <c r="W30" s="10">
        <f t="shared" si="0"/>
        <v>19.5</v>
      </c>
    </row>
    <row r="31" spans="1:23" x14ac:dyDescent="0.3">
      <c r="A31" s="10" t="s">
        <v>21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>
        <v>0.16239999999999999</v>
      </c>
      <c r="S31" s="11">
        <v>0.26740000000000003</v>
      </c>
      <c r="T31" s="11">
        <v>0.36959999999999998</v>
      </c>
      <c r="U31" s="11">
        <v>0.47789999999999999</v>
      </c>
      <c r="V31" s="11">
        <v>0.57899999999999996</v>
      </c>
      <c r="W31" s="10" t="str">
        <f t="shared" si="0"/>
        <v>FP</v>
      </c>
    </row>
    <row r="33" spans="2:15" ht="14.4" x14ac:dyDescent="0.3">
      <c r="B33" s="232" t="s">
        <v>108</v>
      </c>
      <c r="C33" s="232"/>
      <c r="D33" s="232"/>
      <c r="E33" s="232"/>
      <c r="F33" s="232"/>
      <c r="G33" s="232"/>
      <c r="H33" s="232"/>
      <c r="I33" s="232"/>
      <c r="J33" s="232"/>
      <c r="K33" s="232"/>
      <c r="L33" s="232"/>
      <c r="M33" s="232"/>
      <c r="N33" s="232"/>
      <c r="O33" s="232"/>
    </row>
    <row r="34" spans="2:15" ht="14.4" x14ac:dyDescent="0.3">
      <c r="B34" s="233" t="s">
        <v>109</v>
      </c>
      <c r="C34" s="233" t="s">
        <v>110</v>
      </c>
      <c r="D34" s="233"/>
      <c r="E34" s="233"/>
      <c r="F34" s="233"/>
      <c r="G34" s="233"/>
      <c r="H34" s="233"/>
      <c r="I34" s="233"/>
      <c r="J34" s="233"/>
      <c r="K34" s="233"/>
      <c r="L34" s="233"/>
      <c r="M34" s="233"/>
      <c r="N34" s="233"/>
      <c r="O34" s="72" t="s">
        <v>109</v>
      </c>
    </row>
    <row r="35" spans="2:15" ht="14.4" x14ac:dyDescent="0.3">
      <c r="B35" s="233"/>
      <c r="C35" s="234" t="s">
        <v>111</v>
      </c>
      <c r="D35" s="72" t="s">
        <v>112</v>
      </c>
      <c r="E35" s="72" t="s">
        <v>112</v>
      </c>
      <c r="F35" s="72" t="s">
        <v>112</v>
      </c>
      <c r="G35" s="72" t="s">
        <v>112</v>
      </c>
      <c r="H35" s="72" t="s">
        <v>112</v>
      </c>
      <c r="I35" s="72" t="s">
        <v>112</v>
      </c>
      <c r="J35" s="72" t="s">
        <v>5</v>
      </c>
      <c r="K35" s="72" t="s">
        <v>5</v>
      </c>
      <c r="L35" s="233" t="s">
        <v>113</v>
      </c>
      <c r="M35" s="233" t="s">
        <v>114</v>
      </c>
      <c r="N35" s="234" t="s">
        <v>115</v>
      </c>
      <c r="O35" s="233" t="s">
        <v>116</v>
      </c>
    </row>
    <row r="36" spans="2:15" ht="14.4" x14ac:dyDescent="0.3">
      <c r="B36" s="72" t="s">
        <v>117</v>
      </c>
      <c r="C36" s="234"/>
      <c r="D36" s="72" t="s">
        <v>118</v>
      </c>
      <c r="E36" s="72">
        <v>1</v>
      </c>
      <c r="F36" s="72" t="s">
        <v>119</v>
      </c>
      <c r="G36" s="72">
        <v>2</v>
      </c>
      <c r="H36" s="72">
        <v>3</v>
      </c>
      <c r="I36" s="72">
        <v>4</v>
      </c>
      <c r="J36" s="72">
        <v>5</v>
      </c>
      <c r="K36" s="72" t="s">
        <v>120</v>
      </c>
      <c r="L36" s="233"/>
      <c r="M36" s="233"/>
      <c r="N36" s="234"/>
      <c r="O36" s="233"/>
    </row>
    <row r="37" spans="2:15" ht="14.4" x14ac:dyDescent="0.3">
      <c r="B37" s="207" t="s">
        <v>9</v>
      </c>
      <c r="C37" s="207"/>
      <c r="D37" s="207"/>
      <c r="E37" s="207"/>
      <c r="F37" s="207"/>
      <c r="G37" s="207"/>
      <c r="H37" s="207"/>
      <c r="I37" s="207"/>
      <c r="J37" s="207"/>
      <c r="K37" s="207"/>
      <c r="L37" s="207">
        <v>4.0339999999999998</v>
      </c>
      <c r="M37" s="207">
        <v>5.0739999999999998</v>
      </c>
      <c r="N37" s="207"/>
      <c r="O37" s="207">
        <v>5.4009999999999998</v>
      </c>
    </row>
    <row r="38" spans="2:15" ht="14.4" x14ac:dyDescent="0.3">
      <c r="B38" s="207" t="s">
        <v>30</v>
      </c>
      <c r="C38" s="207"/>
      <c r="D38" s="207"/>
      <c r="E38" s="207"/>
      <c r="F38" s="207"/>
      <c r="G38" s="207"/>
      <c r="H38" s="207"/>
      <c r="I38" s="207"/>
      <c r="J38" s="208"/>
      <c r="K38" s="208">
        <v>0.871</v>
      </c>
      <c r="L38" s="207">
        <v>4.6970000000000001</v>
      </c>
      <c r="M38" s="207">
        <v>5.47</v>
      </c>
      <c r="N38" s="207"/>
      <c r="O38" s="207">
        <v>5.7130000000000001</v>
      </c>
    </row>
    <row r="39" spans="2:15" ht="14.4" x14ac:dyDescent="0.3">
      <c r="B39" s="207" t="s">
        <v>14</v>
      </c>
      <c r="C39" s="207"/>
      <c r="D39" s="207"/>
      <c r="E39" s="208"/>
      <c r="F39" s="208"/>
      <c r="G39" s="208"/>
      <c r="H39" s="208"/>
      <c r="I39" s="208"/>
      <c r="J39" s="208"/>
      <c r="K39" s="208">
        <v>1.831</v>
      </c>
      <c r="L39" s="207">
        <v>5.2110000000000003</v>
      </c>
      <c r="M39" s="207">
        <v>5.859</v>
      </c>
      <c r="N39" s="207"/>
      <c r="O39" s="207">
        <v>6.0570000000000004</v>
      </c>
    </row>
    <row r="40" spans="2:15" ht="14.4" x14ac:dyDescent="0.3">
      <c r="B40" s="207" t="s">
        <v>118</v>
      </c>
      <c r="C40" s="207"/>
      <c r="D40" s="208"/>
      <c r="E40" s="208">
        <v>0.29799999999999999</v>
      </c>
      <c r="F40" s="208">
        <v>0.43099999999999999</v>
      </c>
      <c r="G40" s="208">
        <v>0.44</v>
      </c>
      <c r="H40" s="208">
        <v>0.28199999999999997</v>
      </c>
      <c r="I40" s="208">
        <v>0.26500000000000001</v>
      </c>
      <c r="J40" s="208">
        <v>1.129</v>
      </c>
      <c r="K40" s="208">
        <v>2.645</v>
      </c>
      <c r="L40" s="207">
        <v>5.66</v>
      </c>
      <c r="M40" s="207">
        <v>6.2789999999999999</v>
      </c>
      <c r="N40" s="207"/>
      <c r="O40" s="207">
        <v>6.4429999999999996</v>
      </c>
    </row>
    <row r="41" spans="2:15" ht="14.4" x14ac:dyDescent="0.3">
      <c r="B41" s="207">
        <v>1</v>
      </c>
      <c r="C41" s="207"/>
      <c r="D41" s="208">
        <v>1.292</v>
      </c>
      <c r="E41" s="208">
        <v>1.48</v>
      </c>
      <c r="F41" s="208">
        <v>1.5920000000000001</v>
      </c>
      <c r="G41" s="208">
        <v>1.6779999999999999</v>
      </c>
      <c r="H41" s="208">
        <v>1.825</v>
      </c>
      <c r="I41" s="208">
        <v>2.0550000000000002</v>
      </c>
      <c r="J41" s="208">
        <v>2.5070000000000001</v>
      </c>
      <c r="K41" s="208">
        <v>3.6360000000000001</v>
      </c>
      <c r="L41" s="207">
        <v>5.64</v>
      </c>
      <c r="M41" s="207">
        <v>6.431</v>
      </c>
      <c r="N41" s="207"/>
      <c r="O41" s="207">
        <v>6.5650000000000004</v>
      </c>
    </row>
    <row r="42" spans="2:15" ht="14.4" x14ac:dyDescent="0.3">
      <c r="B42" s="207" t="s">
        <v>119</v>
      </c>
      <c r="C42" s="207">
        <v>0.27</v>
      </c>
      <c r="D42" s="208">
        <v>2.5979999999999999</v>
      </c>
      <c r="E42" s="208">
        <v>2.78</v>
      </c>
      <c r="F42" s="208">
        <v>2.8959999999999999</v>
      </c>
      <c r="G42" s="208">
        <v>2.9929999999999999</v>
      </c>
      <c r="H42" s="208">
        <v>3.1379999999999999</v>
      </c>
      <c r="I42" s="208">
        <v>3.323</v>
      </c>
      <c r="J42" s="208">
        <v>3.6440000000000001</v>
      </c>
      <c r="K42" s="208">
        <v>4.4189999999999996</v>
      </c>
      <c r="L42" s="207">
        <v>6.0149999999999997</v>
      </c>
      <c r="M42" s="207">
        <v>6.5590000000000002</v>
      </c>
      <c r="N42" s="207"/>
      <c r="O42" s="207">
        <v>6.6619999999999999</v>
      </c>
    </row>
    <row r="43" spans="2:15" ht="14.4" x14ac:dyDescent="0.3">
      <c r="B43" s="207">
        <v>2</v>
      </c>
      <c r="C43" s="207">
        <v>0.42599999999999999</v>
      </c>
      <c r="D43" s="208">
        <v>4.0629999999999997</v>
      </c>
      <c r="E43" s="208">
        <v>4.1929999999999996</v>
      </c>
      <c r="F43" s="208">
        <v>4.2729999999999997</v>
      </c>
      <c r="G43" s="208">
        <v>4.3289999999999997</v>
      </c>
      <c r="H43" s="208">
        <v>4.4359999999999999</v>
      </c>
      <c r="I43" s="208">
        <v>4.5819999999999999</v>
      </c>
      <c r="J43" s="208">
        <v>4.835</v>
      </c>
      <c r="K43" s="208">
        <v>5.4169999999999998</v>
      </c>
      <c r="L43" s="207">
        <v>6.3520000000000003</v>
      </c>
      <c r="M43" s="207">
        <v>6.6970000000000001</v>
      </c>
      <c r="N43" s="207"/>
      <c r="O43" s="207">
        <v>6.7670000000000003</v>
      </c>
    </row>
    <row r="44" spans="2:15" ht="14.4" x14ac:dyDescent="0.3">
      <c r="B44" s="207">
        <v>3</v>
      </c>
      <c r="C44" s="207">
        <v>0.28899999999999998</v>
      </c>
      <c r="D44" s="208">
        <v>5.76</v>
      </c>
      <c r="E44" s="208">
        <v>5.8620000000000001</v>
      </c>
      <c r="F44" s="208">
        <v>5.9089999999999998</v>
      </c>
      <c r="G44" s="208">
        <v>5.9459999999999997</v>
      </c>
      <c r="H44" s="208">
        <v>6.0129999999999999</v>
      </c>
      <c r="I44" s="208">
        <v>6.101</v>
      </c>
      <c r="J44" s="208">
        <v>6.2549999999999999</v>
      </c>
      <c r="K44" s="208">
        <v>6.5750000000000002</v>
      </c>
      <c r="L44" s="207">
        <v>6.8120000000000003</v>
      </c>
      <c r="M44" s="207">
        <v>6.9219999999999997</v>
      </c>
      <c r="N44" s="207"/>
      <c r="O44" s="207">
        <v>6.9560000000000004</v>
      </c>
    </row>
    <row r="45" spans="2:15" ht="14.4" x14ac:dyDescent="0.3">
      <c r="B45" s="207">
        <v>4</v>
      </c>
      <c r="C45" s="207">
        <v>0.66700000000000004</v>
      </c>
      <c r="D45" s="208">
        <v>6.5449999999999999</v>
      </c>
      <c r="E45" s="208">
        <v>6.617</v>
      </c>
      <c r="F45" s="208">
        <v>6.6580000000000004</v>
      </c>
      <c r="G45" s="208">
        <v>6.6879999999999997</v>
      </c>
      <c r="H45" s="208">
        <v>6.7350000000000003</v>
      </c>
      <c r="I45" s="208">
        <v>6.7930000000000001</v>
      </c>
      <c r="J45" s="208">
        <v>6.88</v>
      </c>
      <c r="K45" s="208">
        <v>6.9740000000000002</v>
      </c>
      <c r="L45" s="207">
        <v>7.0170000000000003</v>
      </c>
      <c r="M45" s="207"/>
      <c r="N45" s="207"/>
      <c r="O45" s="207">
        <v>7.0540000000000003</v>
      </c>
    </row>
    <row r="46" spans="2:15" ht="14.4" x14ac:dyDescent="0.3">
      <c r="B46" s="207">
        <v>5</v>
      </c>
      <c r="C46" s="207">
        <v>3.1659999999999999</v>
      </c>
      <c r="D46" s="208">
        <v>6.7080000000000002</v>
      </c>
      <c r="E46" s="208">
        <v>6.7759999999999998</v>
      </c>
      <c r="F46" s="208">
        <v>6.8150000000000004</v>
      </c>
      <c r="G46" s="208">
        <v>6.843</v>
      </c>
      <c r="H46" s="208">
        <v>6.8869999999999996</v>
      </c>
      <c r="I46" s="208">
        <v>6.9359999999999999</v>
      </c>
      <c r="J46" s="208">
        <v>6.9889999999999999</v>
      </c>
      <c r="K46" s="208">
        <v>7.0380000000000003</v>
      </c>
      <c r="L46" s="207">
        <v>7.07</v>
      </c>
      <c r="M46" s="207"/>
      <c r="N46" s="207"/>
      <c r="O46" s="207">
        <v>7.0890000000000004</v>
      </c>
    </row>
    <row r="47" spans="2:15" ht="14.4" x14ac:dyDescent="0.3">
      <c r="B47" s="207">
        <v>6</v>
      </c>
      <c r="C47" s="207">
        <v>2.85</v>
      </c>
      <c r="D47" s="208">
        <v>6.7350000000000003</v>
      </c>
      <c r="E47" s="208">
        <v>6.79</v>
      </c>
      <c r="F47" s="208">
        <v>6.82</v>
      </c>
      <c r="G47" s="208">
        <v>6.835</v>
      </c>
      <c r="H47" s="208">
        <v>6.8659999999999997</v>
      </c>
      <c r="I47" s="208">
        <v>6.9279999999999999</v>
      </c>
      <c r="J47" s="208">
        <v>6.9980000000000002</v>
      </c>
      <c r="K47" s="208">
        <v>7.0640000000000001</v>
      </c>
      <c r="L47" s="207">
        <v>7.1180000000000003</v>
      </c>
      <c r="M47" s="207"/>
      <c r="N47" s="207"/>
      <c r="O47" s="207">
        <v>7.12</v>
      </c>
    </row>
    <row r="48" spans="2:15" ht="14.4" x14ac:dyDescent="0.3">
      <c r="B48" s="207">
        <v>7</v>
      </c>
      <c r="C48" s="207">
        <v>2.052</v>
      </c>
      <c r="D48" s="208">
        <v>6.806</v>
      </c>
      <c r="E48" s="208">
        <v>6.85</v>
      </c>
      <c r="F48" s="208">
        <v>6.8819999999999997</v>
      </c>
      <c r="G48" s="208">
        <v>6.9059999999999997</v>
      </c>
      <c r="H48" s="208">
        <v>6.94</v>
      </c>
      <c r="I48" s="208">
        <v>6.9989999999999997</v>
      </c>
      <c r="J48" s="208">
        <v>7.0650000000000004</v>
      </c>
      <c r="K48" s="208">
        <v>7.1239999999999997</v>
      </c>
      <c r="L48" s="207">
        <v>7.1669999999999998</v>
      </c>
      <c r="M48" s="207"/>
      <c r="N48" s="207"/>
      <c r="O48" s="207">
        <v>7.17</v>
      </c>
    </row>
    <row r="49" spans="2:15" ht="14.4" x14ac:dyDescent="0.3">
      <c r="B49" s="207">
        <v>8</v>
      </c>
      <c r="C49" s="207">
        <v>1.381</v>
      </c>
      <c r="D49" s="208">
        <v>7.016</v>
      </c>
      <c r="E49" s="208">
        <v>7.05</v>
      </c>
      <c r="F49" s="208">
        <v>7.0640000000000001</v>
      </c>
      <c r="G49" s="208">
        <v>7.0720000000000001</v>
      </c>
      <c r="H49" s="208">
        <v>7.0869999999999997</v>
      </c>
      <c r="I49" s="208">
        <v>7.109</v>
      </c>
      <c r="J49" s="208">
        <v>7.1520000000000001</v>
      </c>
      <c r="K49" s="208">
        <v>7.1870000000000003</v>
      </c>
      <c r="L49" s="207">
        <v>7.2119999999999997</v>
      </c>
      <c r="M49" s="207"/>
      <c r="N49" s="207"/>
      <c r="O49" s="207">
        <v>7.2130000000000001</v>
      </c>
    </row>
    <row r="50" spans="2:15" ht="14.4" x14ac:dyDescent="0.3">
      <c r="B50" s="207">
        <v>9</v>
      </c>
      <c r="C50" s="207">
        <v>1.3140000000000001</v>
      </c>
      <c r="D50" s="208">
        <v>7.0990000000000002</v>
      </c>
      <c r="E50" s="208">
        <v>7.1210000000000004</v>
      </c>
      <c r="F50" s="208">
        <v>7.1360000000000001</v>
      </c>
      <c r="G50" s="208">
        <v>7.1429999999999998</v>
      </c>
      <c r="H50" s="208">
        <v>7.1520000000000001</v>
      </c>
      <c r="I50" s="208">
        <v>7.1609999999999996</v>
      </c>
      <c r="J50" s="208">
        <v>7.181</v>
      </c>
      <c r="K50" s="208">
        <v>7.2039999999999997</v>
      </c>
      <c r="L50" s="207">
        <v>7.2229999999999999</v>
      </c>
      <c r="M50" s="207"/>
      <c r="N50" s="207"/>
      <c r="O50" s="207">
        <v>7.2229999999999999</v>
      </c>
    </row>
    <row r="51" spans="2:15" ht="14.4" x14ac:dyDescent="0.3">
      <c r="B51" s="207">
        <v>10</v>
      </c>
      <c r="C51" s="207">
        <v>1.3169999999999999</v>
      </c>
      <c r="D51" s="208">
        <v>7.1</v>
      </c>
      <c r="E51" s="208">
        <v>7.1219999999999999</v>
      </c>
      <c r="F51" s="208">
        <v>7.1369999999999996</v>
      </c>
      <c r="G51" s="208">
        <v>7.1429999999999998</v>
      </c>
      <c r="H51" s="208">
        <v>7.1529999999999996</v>
      </c>
      <c r="I51" s="208">
        <v>7.1619999999999999</v>
      </c>
      <c r="J51" s="208">
        <v>7.1820000000000004</v>
      </c>
      <c r="K51" s="208">
        <v>7.2039999999999997</v>
      </c>
      <c r="L51" s="207">
        <v>7.2229999999999999</v>
      </c>
      <c r="M51" s="207"/>
      <c r="N51" s="207"/>
      <c r="O51" s="207">
        <v>7.2249999999999996</v>
      </c>
    </row>
    <row r="52" spans="2:15" ht="14.4" x14ac:dyDescent="0.3">
      <c r="B52" s="207">
        <v>11</v>
      </c>
      <c r="C52" s="207">
        <v>1.3169999999999999</v>
      </c>
      <c r="D52" s="208">
        <v>7.1</v>
      </c>
      <c r="E52" s="208">
        <v>7.1219999999999999</v>
      </c>
      <c r="F52" s="208">
        <v>7.1369999999999996</v>
      </c>
      <c r="G52" s="208">
        <v>7.1429999999999998</v>
      </c>
      <c r="H52" s="208">
        <v>7.1520000000000001</v>
      </c>
      <c r="I52" s="208">
        <v>7.1619999999999999</v>
      </c>
      <c r="J52" s="208">
        <v>7.1820000000000004</v>
      </c>
      <c r="K52" s="208">
        <v>7.2039999999999997</v>
      </c>
      <c r="L52" s="207">
        <v>7.2229999999999999</v>
      </c>
      <c r="M52" s="207"/>
      <c r="N52" s="207"/>
      <c r="O52" s="207">
        <v>7.2249999999999996</v>
      </c>
    </row>
    <row r="53" spans="2:15" ht="14.4" x14ac:dyDescent="0.3">
      <c r="B53" s="207">
        <v>12</v>
      </c>
      <c r="C53" s="207">
        <v>1.3160000000000001</v>
      </c>
      <c r="D53" s="208">
        <v>7.1</v>
      </c>
      <c r="E53" s="208">
        <v>7.1219999999999999</v>
      </c>
      <c r="F53" s="208">
        <v>7.1369999999999996</v>
      </c>
      <c r="G53" s="208">
        <v>7.1429999999999998</v>
      </c>
      <c r="H53" s="208">
        <v>7.1520000000000001</v>
      </c>
      <c r="I53" s="208">
        <v>7.1619999999999999</v>
      </c>
      <c r="J53" s="208">
        <v>7.1820000000000004</v>
      </c>
      <c r="K53" s="208">
        <v>7.2039999999999997</v>
      </c>
      <c r="L53" s="207">
        <v>7.2220000000000004</v>
      </c>
      <c r="M53" s="207"/>
      <c r="N53" s="207"/>
      <c r="O53" s="207">
        <v>7.2229999999999999</v>
      </c>
    </row>
    <row r="54" spans="2:15" ht="14.4" x14ac:dyDescent="0.3">
      <c r="B54" s="207">
        <v>13</v>
      </c>
      <c r="C54" s="207">
        <v>1.3120000000000001</v>
      </c>
      <c r="D54" s="208">
        <v>7.0979999999999999</v>
      </c>
      <c r="E54" s="208">
        <v>7.1189999999999998</v>
      </c>
      <c r="F54" s="208">
        <v>7.133</v>
      </c>
      <c r="G54" s="208">
        <v>7.14</v>
      </c>
      <c r="H54" s="208">
        <v>7.15</v>
      </c>
      <c r="I54" s="208">
        <v>7.16</v>
      </c>
      <c r="J54" s="208">
        <v>7.181</v>
      </c>
      <c r="K54" s="208">
        <v>7.2030000000000003</v>
      </c>
      <c r="L54" s="207">
        <v>7.2140000000000004</v>
      </c>
      <c r="M54" s="207"/>
      <c r="N54" s="207"/>
      <c r="O54" s="207">
        <v>7.2229999999999999</v>
      </c>
    </row>
    <row r="55" spans="2:15" ht="14.4" x14ac:dyDescent="0.3">
      <c r="B55" s="207">
        <v>14</v>
      </c>
      <c r="C55" s="207">
        <v>1.421</v>
      </c>
      <c r="D55" s="208">
        <v>7.008</v>
      </c>
      <c r="E55" s="208">
        <v>7.0330000000000004</v>
      </c>
      <c r="F55" s="208">
        <v>7.0460000000000003</v>
      </c>
      <c r="G55" s="208">
        <v>7.0540000000000003</v>
      </c>
      <c r="H55" s="208">
        <v>7.0720000000000001</v>
      </c>
      <c r="I55" s="208">
        <v>7.0919999999999996</v>
      </c>
      <c r="J55" s="208">
        <v>7.1189999999999998</v>
      </c>
      <c r="K55" s="208">
        <v>7.1529999999999996</v>
      </c>
      <c r="L55" s="207">
        <v>7.1820000000000004</v>
      </c>
      <c r="M55" s="207"/>
      <c r="N55" s="207"/>
      <c r="O55" s="207">
        <v>7.2060000000000004</v>
      </c>
    </row>
    <row r="56" spans="2:15" ht="14.4" x14ac:dyDescent="0.3">
      <c r="B56" s="207">
        <v>15</v>
      </c>
      <c r="C56" s="207">
        <v>2.3679999999999999</v>
      </c>
      <c r="D56" s="208">
        <v>6.7080000000000002</v>
      </c>
      <c r="E56" s="208">
        <v>6.7359999999999998</v>
      </c>
      <c r="F56" s="208">
        <v>6.7590000000000003</v>
      </c>
      <c r="G56" s="208">
        <v>6.7789999999999999</v>
      </c>
      <c r="H56" s="208">
        <v>6.8150000000000004</v>
      </c>
      <c r="I56" s="208">
        <v>6.851</v>
      </c>
      <c r="J56" s="208">
        <v>6.8929999999999998</v>
      </c>
      <c r="K56" s="208">
        <v>6.9649999999999999</v>
      </c>
      <c r="L56" s="207">
        <v>7.069</v>
      </c>
      <c r="M56" s="207"/>
      <c r="N56" s="207"/>
      <c r="O56" s="207">
        <v>7.1310000000000002</v>
      </c>
    </row>
    <row r="57" spans="2:15" ht="14.4" x14ac:dyDescent="0.3">
      <c r="B57" s="207">
        <v>16</v>
      </c>
      <c r="C57" s="207">
        <v>2.3679999999999999</v>
      </c>
      <c r="D57" s="208">
        <v>6.2130000000000001</v>
      </c>
      <c r="E57" s="208">
        <v>6.25</v>
      </c>
      <c r="F57" s="208">
        <v>6.2779999999999996</v>
      </c>
      <c r="G57" s="208">
        <v>6.306</v>
      </c>
      <c r="H57" s="208">
        <v>6.3769999999999998</v>
      </c>
      <c r="I57" s="208">
        <v>6.4409999999999998</v>
      </c>
      <c r="J57" s="208">
        <v>6.5030000000000001</v>
      </c>
      <c r="K57" s="208">
        <v>6.6050000000000004</v>
      </c>
      <c r="L57" s="207">
        <v>6.7709999999999999</v>
      </c>
      <c r="M57" s="207"/>
      <c r="N57" s="207"/>
      <c r="O57" s="207">
        <v>6.8570000000000002</v>
      </c>
    </row>
    <row r="58" spans="2:15" ht="14.4" x14ac:dyDescent="0.3">
      <c r="B58" s="207">
        <v>17</v>
      </c>
      <c r="C58" s="207">
        <v>1.2569999999999999</v>
      </c>
      <c r="D58" s="208">
        <v>5.26</v>
      </c>
      <c r="E58" s="208">
        <v>5.327</v>
      </c>
      <c r="F58" s="208">
        <v>5.375</v>
      </c>
      <c r="G58" s="208">
        <v>5.4160000000000004</v>
      </c>
      <c r="H58" s="208">
        <v>5.4820000000000002</v>
      </c>
      <c r="I58" s="208">
        <v>5.5579999999999998</v>
      </c>
      <c r="J58" s="208">
        <v>5.6509999999999998</v>
      </c>
      <c r="K58" s="208">
        <v>5.7850000000000001</v>
      </c>
      <c r="L58" s="207">
        <v>6.1870000000000003</v>
      </c>
      <c r="M58" s="207"/>
      <c r="N58" s="207"/>
      <c r="O58" s="207">
        <v>6.1870000000000003</v>
      </c>
    </row>
    <row r="59" spans="2:15" ht="14.4" x14ac:dyDescent="0.3">
      <c r="B59" s="207">
        <v>18</v>
      </c>
      <c r="C59" s="207">
        <v>0.44700000000000001</v>
      </c>
      <c r="D59" s="208">
        <v>3.9329999999999998</v>
      </c>
      <c r="E59" s="208">
        <v>4.0359999999999996</v>
      </c>
      <c r="F59" s="208">
        <v>4.0960000000000001</v>
      </c>
      <c r="G59" s="208">
        <v>4.1379999999999999</v>
      </c>
      <c r="H59" s="208">
        <v>4.2060000000000004</v>
      </c>
      <c r="I59" s="208">
        <v>4.2859999999999996</v>
      </c>
      <c r="J59" s="208">
        <v>4.3890000000000002</v>
      </c>
      <c r="K59" s="208">
        <v>4.5380000000000003</v>
      </c>
      <c r="L59" s="207">
        <v>4.8529999999999998</v>
      </c>
      <c r="M59" s="207"/>
      <c r="N59" s="207"/>
      <c r="O59" s="207">
        <v>5.0750000000000002</v>
      </c>
    </row>
    <row r="60" spans="2:15" ht="14.4" x14ac:dyDescent="0.3">
      <c r="B60" s="207" t="s">
        <v>121</v>
      </c>
      <c r="C60" s="207"/>
      <c r="D60" s="208">
        <v>3.0209999999999999</v>
      </c>
      <c r="E60" s="208">
        <v>3.1070000000000002</v>
      </c>
      <c r="F60" s="208">
        <v>3.1640000000000001</v>
      </c>
      <c r="G60" s="208">
        <v>3.2</v>
      </c>
      <c r="H60" s="208">
        <v>3.2709999999999999</v>
      </c>
      <c r="I60" s="208">
        <v>3.3620000000000001</v>
      </c>
      <c r="J60" s="208">
        <v>3.4889999999999999</v>
      </c>
      <c r="K60" s="208">
        <v>3.673</v>
      </c>
      <c r="L60" s="207">
        <v>4.0220000000000002</v>
      </c>
      <c r="M60" s="207"/>
      <c r="N60" s="207"/>
      <c r="O60" s="207">
        <v>4.2409999999999997</v>
      </c>
    </row>
    <row r="61" spans="2:15" ht="14.4" x14ac:dyDescent="0.3">
      <c r="B61" s="207">
        <v>19</v>
      </c>
      <c r="C61" s="207"/>
      <c r="D61" s="208">
        <v>1.8</v>
      </c>
      <c r="E61" s="208">
        <v>1.9239999999999999</v>
      </c>
      <c r="F61" s="208">
        <v>1.9810000000000001</v>
      </c>
      <c r="G61" s="208">
        <v>2.0409999999999999</v>
      </c>
      <c r="H61" s="208">
        <v>2.145</v>
      </c>
      <c r="I61" s="208">
        <v>2.2309999999999999</v>
      </c>
      <c r="J61" s="208">
        <v>2.339</v>
      </c>
      <c r="K61" s="208">
        <v>2.577</v>
      </c>
      <c r="L61" s="207">
        <v>3.1219999999999999</v>
      </c>
      <c r="M61" s="207"/>
      <c r="N61" s="207"/>
      <c r="O61" s="207">
        <v>3.379</v>
      </c>
    </row>
    <row r="62" spans="2:15" ht="14.4" x14ac:dyDescent="0.3">
      <c r="B62" s="207" t="s">
        <v>122</v>
      </c>
      <c r="C62" s="207"/>
      <c r="D62" s="207">
        <v>0.38</v>
      </c>
      <c r="E62" s="207">
        <v>0.503</v>
      </c>
      <c r="F62" s="207">
        <v>0.57999999999999996</v>
      </c>
      <c r="G62" s="207">
        <v>0.64900000000000002</v>
      </c>
      <c r="H62" s="207">
        <v>0.79200000000000004</v>
      </c>
      <c r="I62" s="207">
        <v>0.95799999999999996</v>
      </c>
      <c r="J62" s="208">
        <v>1.093</v>
      </c>
      <c r="K62" s="208">
        <v>1.3160000000000001</v>
      </c>
      <c r="L62" s="207">
        <v>2.7280000000000002</v>
      </c>
      <c r="M62" s="207"/>
      <c r="N62" s="207">
        <v>2.7280000000000002</v>
      </c>
      <c r="O62" s="207">
        <v>1.988</v>
      </c>
    </row>
    <row r="63" spans="2:15" ht="14.4" x14ac:dyDescent="0.3">
      <c r="B63" s="207" t="s">
        <v>21</v>
      </c>
      <c r="C63" s="207"/>
      <c r="D63" s="208"/>
      <c r="E63" s="208"/>
      <c r="F63" s="208"/>
      <c r="G63" s="208"/>
      <c r="H63" s="208"/>
      <c r="I63" s="208"/>
      <c r="J63" s="208"/>
      <c r="K63" s="207">
        <v>2.4E-2</v>
      </c>
      <c r="L63" s="208">
        <v>1.7689999999999999</v>
      </c>
      <c r="M63" s="208"/>
      <c r="N63" s="207">
        <v>1.7689999999999999</v>
      </c>
      <c r="O63" s="207">
        <v>1.9670000000000001</v>
      </c>
    </row>
    <row r="1048574" spans="17:17" x14ac:dyDescent="0.3">
      <c r="Q1048574" s="11"/>
    </row>
  </sheetData>
  <mergeCells count="15">
    <mergeCell ref="Z1:AB1"/>
    <mergeCell ref="A2:A4"/>
    <mergeCell ref="W2:W4"/>
    <mergeCell ref="AA2:AB2"/>
    <mergeCell ref="B3:B4"/>
    <mergeCell ref="A1:W1"/>
    <mergeCell ref="B2:V2"/>
    <mergeCell ref="B33:O33"/>
    <mergeCell ref="B34:B35"/>
    <mergeCell ref="C34:N34"/>
    <mergeCell ref="C35:C36"/>
    <mergeCell ref="L35:L36"/>
    <mergeCell ref="M35:M36"/>
    <mergeCell ref="N35:N36"/>
    <mergeCell ref="O35:O36"/>
  </mergeCells>
  <pageMargins left="0.7" right="0.7" top="0.75" bottom="0.75" header="0.3" footer="0.3"/>
  <pageSetup paperSize="9" scale="49" orientation="landscape" r:id="rId1"/>
  <ignoredErrors>
    <ignoredError sqref="W11:W31 W7:W9 W5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40E07-BAF4-4CB8-94BD-26DB34CA0E86}">
  <dimension ref="A1:B21"/>
  <sheetViews>
    <sheetView workbookViewId="0">
      <selection activeCell="F29" sqref="F29"/>
    </sheetView>
  </sheetViews>
  <sheetFormatPr defaultRowHeight="14.4" x14ac:dyDescent="0.3"/>
  <sheetData>
    <row r="1" spans="1:2" x14ac:dyDescent="0.3">
      <c r="A1" t="s">
        <v>22</v>
      </c>
      <c r="B1" t="s">
        <v>104</v>
      </c>
    </row>
    <row r="2" spans="1:2" x14ac:dyDescent="0.3">
      <c r="A2" t="s">
        <v>84</v>
      </c>
      <c r="B2" t="s">
        <v>105</v>
      </c>
    </row>
    <row r="3" spans="1:2" x14ac:dyDescent="0.3">
      <c r="A3" t="s">
        <v>86</v>
      </c>
      <c r="B3" t="s">
        <v>106</v>
      </c>
    </row>
    <row r="4" spans="1:2" x14ac:dyDescent="0.3">
      <c r="A4" t="s">
        <v>85</v>
      </c>
      <c r="B4" t="s">
        <v>107</v>
      </c>
    </row>
    <row r="5" spans="1:2" x14ac:dyDescent="0.3">
      <c r="A5" t="s">
        <v>87</v>
      </c>
      <c r="B5" s="204">
        <v>1000</v>
      </c>
    </row>
    <row r="6" spans="1:2" x14ac:dyDescent="0.3">
      <c r="A6" t="s">
        <v>94</v>
      </c>
      <c r="B6" s="204">
        <v>1500</v>
      </c>
    </row>
    <row r="7" spans="1:2" x14ac:dyDescent="0.3">
      <c r="A7" t="s">
        <v>88</v>
      </c>
      <c r="B7" s="204">
        <v>2000</v>
      </c>
    </row>
    <row r="8" spans="1:2" x14ac:dyDescent="0.3">
      <c r="A8" t="s">
        <v>95</v>
      </c>
      <c r="B8" s="204">
        <v>2500</v>
      </c>
    </row>
    <row r="9" spans="1:2" x14ac:dyDescent="0.3">
      <c r="A9" t="s">
        <v>89</v>
      </c>
      <c r="B9" s="204">
        <v>3000</v>
      </c>
    </row>
    <row r="10" spans="1:2" x14ac:dyDescent="0.3">
      <c r="A10" t="s">
        <v>96</v>
      </c>
      <c r="B10" s="204">
        <v>3500</v>
      </c>
    </row>
    <row r="11" spans="1:2" x14ac:dyDescent="0.3">
      <c r="A11" t="s">
        <v>90</v>
      </c>
      <c r="B11" s="204">
        <v>4000</v>
      </c>
    </row>
    <row r="12" spans="1:2" x14ac:dyDescent="0.3">
      <c r="A12" t="s">
        <v>97</v>
      </c>
      <c r="B12" s="204">
        <v>4500</v>
      </c>
    </row>
    <row r="13" spans="1:2" x14ac:dyDescent="0.3">
      <c r="A13" t="s">
        <v>91</v>
      </c>
      <c r="B13" s="204">
        <v>5000</v>
      </c>
    </row>
    <row r="14" spans="1:2" x14ac:dyDescent="0.3">
      <c r="A14" t="s">
        <v>98</v>
      </c>
      <c r="B14" s="204">
        <v>5500</v>
      </c>
    </row>
    <row r="15" spans="1:2" x14ac:dyDescent="0.3">
      <c r="A15" t="s">
        <v>92</v>
      </c>
      <c r="B15" s="204">
        <v>6000</v>
      </c>
    </row>
    <row r="16" spans="1:2" x14ac:dyDescent="0.3">
      <c r="A16" t="s">
        <v>99</v>
      </c>
      <c r="B16" s="204">
        <v>6100</v>
      </c>
    </row>
    <row r="17" spans="1:2" x14ac:dyDescent="0.3">
      <c r="A17" t="s">
        <v>100</v>
      </c>
      <c r="B17" s="204">
        <v>6200</v>
      </c>
    </row>
    <row r="18" spans="1:2" x14ac:dyDescent="0.3">
      <c r="A18" t="s">
        <v>101</v>
      </c>
      <c r="B18" s="204">
        <v>6600</v>
      </c>
    </row>
    <row r="19" spans="1:2" x14ac:dyDescent="0.3">
      <c r="A19" t="s">
        <v>93</v>
      </c>
      <c r="B19" s="204">
        <v>7000</v>
      </c>
    </row>
    <row r="20" spans="1:2" x14ac:dyDescent="0.3">
      <c r="A20" t="s">
        <v>102</v>
      </c>
      <c r="B20" s="204">
        <v>7400</v>
      </c>
    </row>
    <row r="21" spans="1:2" x14ac:dyDescent="0.3">
      <c r="A21" t="s">
        <v>103</v>
      </c>
      <c r="B21" s="204">
        <v>7800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D75"/>
  <sheetViews>
    <sheetView view="pageBreakPreview" topLeftCell="CU10" zoomScale="60" zoomScaleNormal="80" workbookViewId="0">
      <selection activeCell="DO27" sqref="DO27"/>
    </sheetView>
  </sheetViews>
  <sheetFormatPr defaultColWidth="9.109375" defaultRowHeight="13.8" x14ac:dyDescent="0.3"/>
  <cols>
    <col min="1" max="1" width="9.109375" style="22"/>
    <col min="2" max="4" width="9.109375" style="22" customWidth="1"/>
    <col min="5" max="5" width="9.109375" style="22"/>
    <col min="6" max="7" width="9.109375" style="22" customWidth="1"/>
    <col min="8" max="8" width="9.109375" style="22"/>
    <col min="9" max="9" width="9.109375" style="22" customWidth="1"/>
    <col min="10" max="82" width="9.109375" style="22"/>
    <col min="83" max="84" width="9.44140625" style="22" customWidth="1"/>
    <col min="85" max="127" width="9.109375" style="22"/>
    <col min="128" max="128" width="16" style="22" customWidth="1"/>
    <col min="129" max="16384" width="9.109375" style="22"/>
  </cols>
  <sheetData>
    <row r="1" spans="1:134" ht="14.4" thickBot="1" x14ac:dyDescent="0.35">
      <c r="DR1" s="265" t="s">
        <v>75</v>
      </c>
      <c r="DS1" s="265"/>
      <c r="DT1" s="265"/>
      <c r="DU1" s="265"/>
      <c r="DV1" s="265"/>
      <c r="DW1" s="265"/>
      <c r="DX1" s="265"/>
      <c r="DY1" s="265"/>
      <c r="DZ1" s="265"/>
      <c r="EA1" s="265"/>
      <c r="EB1" s="265"/>
      <c r="EC1" s="265"/>
      <c r="ED1" s="265"/>
    </row>
    <row r="2" spans="1:134" s="139" customFormat="1" ht="15.75" customHeight="1" thickBot="1" x14ac:dyDescent="0.35">
      <c r="A2" s="131"/>
      <c r="B2" s="246" t="s">
        <v>29</v>
      </c>
      <c r="C2" s="249" t="s">
        <v>31</v>
      </c>
      <c r="D2" s="132">
        <v>0</v>
      </c>
      <c r="E2" s="133" t="s">
        <v>23</v>
      </c>
      <c r="F2" s="134" t="s">
        <v>24</v>
      </c>
      <c r="G2" s="135">
        <f>'Tabel Offset'!D4</f>
        <v>0.5</v>
      </c>
      <c r="H2" s="133" t="s">
        <v>23</v>
      </c>
      <c r="I2" s="136" t="s">
        <v>28</v>
      </c>
      <c r="J2" s="127">
        <f>(G2-D2)/2</f>
        <v>0.25</v>
      </c>
      <c r="K2" s="137" t="s">
        <v>7</v>
      </c>
      <c r="L2" s="138"/>
      <c r="N2" s="246" t="s">
        <v>29</v>
      </c>
      <c r="O2" s="249" t="s">
        <v>31</v>
      </c>
      <c r="P2" s="132">
        <f>'Tabel Offset'!D4</f>
        <v>0.5</v>
      </c>
      <c r="Q2" s="133" t="s">
        <v>23</v>
      </c>
      <c r="R2" s="134" t="s">
        <v>24</v>
      </c>
      <c r="S2" s="135">
        <f>'Tabel Offset'!F4</f>
        <v>1</v>
      </c>
      <c r="T2" s="133" t="s">
        <v>23</v>
      </c>
      <c r="U2" s="136" t="s">
        <v>28</v>
      </c>
      <c r="V2" s="127">
        <f>(S2-P2)/2</f>
        <v>0.25</v>
      </c>
      <c r="W2" s="137" t="s">
        <v>7</v>
      </c>
      <c r="X2" s="138"/>
      <c r="Z2" s="246" t="s">
        <v>29</v>
      </c>
      <c r="AA2" s="249" t="s">
        <v>31</v>
      </c>
      <c r="AB2" s="132">
        <f>'Tabel Offset'!F4</f>
        <v>1</v>
      </c>
      <c r="AC2" s="133" t="s">
        <v>23</v>
      </c>
      <c r="AD2" s="134" t="s">
        <v>24</v>
      </c>
      <c r="AE2" s="135">
        <f>'Tabel Offset'!H4</f>
        <v>2</v>
      </c>
      <c r="AF2" s="133" t="s">
        <v>23</v>
      </c>
      <c r="AG2" s="136" t="s">
        <v>28</v>
      </c>
      <c r="AH2" s="127">
        <f>(AE2-AB2)/2</f>
        <v>0.5</v>
      </c>
      <c r="AI2" s="137" t="s">
        <v>7</v>
      </c>
      <c r="AJ2" s="138"/>
      <c r="AL2" s="246" t="s">
        <v>29</v>
      </c>
      <c r="AM2" s="249" t="s">
        <v>31</v>
      </c>
      <c r="AN2" s="132">
        <f>'Tabel Offset'!H4</f>
        <v>2</v>
      </c>
      <c r="AO2" s="133" t="s">
        <v>23</v>
      </c>
      <c r="AP2" s="134" t="s">
        <v>24</v>
      </c>
      <c r="AQ2" s="135">
        <f>'Tabel Offset'!J4</f>
        <v>3</v>
      </c>
      <c r="AR2" s="133" t="s">
        <v>23</v>
      </c>
      <c r="AS2" s="136" t="s">
        <v>28</v>
      </c>
      <c r="AT2" s="127">
        <f>(AQ2-AN2)/2</f>
        <v>0.5</v>
      </c>
      <c r="AU2" s="137" t="s">
        <v>7</v>
      </c>
      <c r="AV2" s="138"/>
      <c r="AX2" s="246" t="s">
        <v>29</v>
      </c>
      <c r="AY2" s="249" t="s">
        <v>31</v>
      </c>
      <c r="AZ2" s="132">
        <f>'Tabel Offset'!J4</f>
        <v>3</v>
      </c>
      <c r="BA2" s="133" t="s">
        <v>23</v>
      </c>
      <c r="BB2" s="134" t="s">
        <v>24</v>
      </c>
      <c r="BC2" s="135">
        <f>'Tabel Offset'!L4</f>
        <v>4</v>
      </c>
      <c r="BD2" s="133" t="s">
        <v>23</v>
      </c>
      <c r="BE2" s="136" t="s">
        <v>28</v>
      </c>
      <c r="BF2" s="127">
        <f>(BC2-AZ2)/2</f>
        <v>0.5</v>
      </c>
      <c r="BG2" s="137" t="s">
        <v>7</v>
      </c>
      <c r="BH2" s="138"/>
      <c r="BJ2" s="246" t="s">
        <v>29</v>
      </c>
      <c r="BK2" s="249" t="s">
        <v>31</v>
      </c>
      <c r="BL2" s="132">
        <f>'Tabel Offset'!L4</f>
        <v>4</v>
      </c>
      <c r="BM2" s="133" t="s">
        <v>23</v>
      </c>
      <c r="BN2" s="134" t="s">
        <v>24</v>
      </c>
      <c r="BO2" s="135">
        <f>'Tabel Offset'!N4</f>
        <v>5</v>
      </c>
      <c r="BP2" s="133" t="s">
        <v>23</v>
      </c>
      <c r="BQ2" s="136" t="s">
        <v>28</v>
      </c>
      <c r="BR2" s="127">
        <f>(BO2-BL2)/2</f>
        <v>0.5</v>
      </c>
      <c r="BS2" s="137" t="s">
        <v>7</v>
      </c>
      <c r="BT2" s="138"/>
      <c r="BV2" s="246" t="s">
        <v>29</v>
      </c>
      <c r="BW2" s="249" t="s">
        <v>31</v>
      </c>
      <c r="BX2" s="132">
        <f>'Tabel Offset'!N4</f>
        <v>5</v>
      </c>
      <c r="BY2" s="133" t="s">
        <v>23</v>
      </c>
      <c r="BZ2" s="134" t="s">
        <v>24</v>
      </c>
      <c r="CA2" s="135">
        <f>'Tabel Offset'!P4</f>
        <v>6</v>
      </c>
      <c r="CB2" s="133" t="s">
        <v>23</v>
      </c>
      <c r="CC2" s="136" t="s">
        <v>28</v>
      </c>
      <c r="CD2" s="127">
        <f>(CA2-BX2)/2</f>
        <v>0.5</v>
      </c>
      <c r="CE2" s="137" t="s">
        <v>7</v>
      </c>
      <c r="CF2" s="138"/>
      <c r="CH2" s="246" t="s">
        <v>29</v>
      </c>
      <c r="CI2" s="249" t="s">
        <v>31</v>
      </c>
      <c r="CJ2" s="132">
        <f>'Tabel Offset'!P4</f>
        <v>6</v>
      </c>
      <c r="CK2" s="133" t="s">
        <v>23</v>
      </c>
      <c r="CL2" s="134" t="s">
        <v>24</v>
      </c>
      <c r="CM2" s="135">
        <f>'Tabel Offset'!R4</f>
        <v>6.5</v>
      </c>
      <c r="CN2" s="133" t="s">
        <v>23</v>
      </c>
      <c r="CO2" s="136" t="s">
        <v>28</v>
      </c>
      <c r="CP2" s="127">
        <f>(CM2-CJ2)/2</f>
        <v>0.25</v>
      </c>
      <c r="CQ2" s="137" t="s">
        <v>7</v>
      </c>
      <c r="CR2" s="138"/>
      <c r="CT2" s="246" t="s">
        <v>29</v>
      </c>
      <c r="CU2" s="249" t="s">
        <v>31</v>
      </c>
      <c r="CV2" s="132">
        <f>'Tabel Offset'!R4</f>
        <v>6.5</v>
      </c>
      <c r="CW2" s="133" t="s">
        <v>23</v>
      </c>
      <c r="CX2" s="134" t="s">
        <v>24</v>
      </c>
      <c r="CY2" s="135">
        <f>'Tabel Offset'!T4</f>
        <v>7.2</v>
      </c>
      <c r="CZ2" s="133" t="s">
        <v>23</v>
      </c>
      <c r="DA2" s="136" t="s">
        <v>28</v>
      </c>
      <c r="DB2" s="127">
        <f>(CY2-CV2)/2</f>
        <v>0.35000000000000009</v>
      </c>
      <c r="DC2" s="137" t="s">
        <v>7</v>
      </c>
      <c r="DD2" s="138"/>
      <c r="DF2" s="246" t="s">
        <v>29</v>
      </c>
      <c r="DG2" s="249" t="s">
        <v>31</v>
      </c>
      <c r="DH2" s="132">
        <f>'Tabel Offset'!T4</f>
        <v>7.2</v>
      </c>
      <c r="DI2" s="133" t="s">
        <v>23</v>
      </c>
      <c r="DJ2" s="134" t="s">
        <v>24</v>
      </c>
      <c r="DK2" s="135">
        <f>'Tabel Offset'!V4</f>
        <v>7.9</v>
      </c>
      <c r="DL2" s="133" t="s">
        <v>23</v>
      </c>
      <c r="DM2" s="136" t="s">
        <v>28</v>
      </c>
      <c r="DN2" s="127">
        <f>(DK2-DH2)/2</f>
        <v>0.35000000000000009</v>
      </c>
      <c r="DO2" s="137" t="s">
        <v>7</v>
      </c>
      <c r="DP2" s="138"/>
      <c r="DR2" s="246" t="s">
        <v>29</v>
      </c>
      <c r="DS2" s="246" t="s">
        <v>31</v>
      </c>
      <c r="DT2" s="140">
        <f>'Tabel Offset'!V4</f>
        <v>7.9</v>
      </c>
      <c r="DU2" s="133" t="s">
        <v>23</v>
      </c>
      <c r="DV2" s="134" t="s">
        <v>24</v>
      </c>
      <c r="DW2" s="134" t="s">
        <v>37</v>
      </c>
      <c r="DX2" s="133" t="s">
        <v>23</v>
      </c>
      <c r="DY2" s="134"/>
      <c r="DZ2" s="141"/>
      <c r="EA2" s="142"/>
      <c r="EB2" s="142"/>
      <c r="EC2" s="127"/>
      <c r="ED2" s="137" t="s">
        <v>7</v>
      </c>
    </row>
    <row r="3" spans="1:134" s="139" customFormat="1" ht="15.75" customHeight="1" thickBot="1" x14ac:dyDescent="0.35">
      <c r="A3" s="131"/>
      <c r="B3" s="247"/>
      <c r="C3" s="250"/>
      <c r="D3" s="126">
        <f>D2</f>
        <v>0</v>
      </c>
      <c r="E3" s="143" t="s">
        <v>23</v>
      </c>
      <c r="F3" s="126">
        <f>(G2-D2)/2+D2</f>
        <v>0.25</v>
      </c>
      <c r="G3" s="143" t="s">
        <v>23</v>
      </c>
      <c r="H3" s="144">
        <f>G2</f>
        <v>0.5</v>
      </c>
      <c r="I3" s="145" t="s">
        <v>23</v>
      </c>
      <c r="J3" s="252" t="s">
        <v>27</v>
      </c>
      <c r="K3" s="246" t="s">
        <v>30</v>
      </c>
      <c r="L3" s="249" t="s">
        <v>32</v>
      </c>
      <c r="N3" s="247"/>
      <c r="O3" s="250"/>
      <c r="P3" s="126">
        <f>P2</f>
        <v>0.5</v>
      </c>
      <c r="Q3" s="143" t="s">
        <v>23</v>
      </c>
      <c r="R3" s="126">
        <f>(S2-P2)/2+P2</f>
        <v>0.75</v>
      </c>
      <c r="S3" s="143" t="s">
        <v>23</v>
      </c>
      <c r="T3" s="144">
        <f>S2</f>
        <v>1</v>
      </c>
      <c r="U3" s="145" t="s">
        <v>23</v>
      </c>
      <c r="V3" s="252" t="s">
        <v>27</v>
      </c>
      <c r="W3" s="246" t="s">
        <v>30</v>
      </c>
      <c r="X3" s="249" t="s">
        <v>32</v>
      </c>
      <c r="Z3" s="247"/>
      <c r="AA3" s="250"/>
      <c r="AB3" s="126">
        <f>AB2</f>
        <v>1</v>
      </c>
      <c r="AC3" s="143" t="s">
        <v>23</v>
      </c>
      <c r="AD3" s="126">
        <f>(AE2-AB2)/2+AB2</f>
        <v>1.5</v>
      </c>
      <c r="AE3" s="143" t="s">
        <v>23</v>
      </c>
      <c r="AF3" s="144">
        <f>AE2</f>
        <v>2</v>
      </c>
      <c r="AG3" s="145" t="s">
        <v>23</v>
      </c>
      <c r="AH3" s="252" t="s">
        <v>27</v>
      </c>
      <c r="AI3" s="246" t="s">
        <v>30</v>
      </c>
      <c r="AJ3" s="249" t="s">
        <v>32</v>
      </c>
      <c r="AL3" s="247"/>
      <c r="AM3" s="250"/>
      <c r="AN3" s="126">
        <f>AN2</f>
        <v>2</v>
      </c>
      <c r="AO3" s="143" t="s">
        <v>23</v>
      </c>
      <c r="AP3" s="126">
        <f>(AQ2-AN2)/2+AN2</f>
        <v>2.5</v>
      </c>
      <c r="AQ3" s="143" t="s">
        <v>23</v>
      </c>
      <c r="AR3" s="144">
        <f>AQ2</f>
        <v>3</v>
      </c>
      <c r="AS3" s="145" t="s">
        <v>23</v>
      </c>
      <c r="AT3" s="252" t="s">
        <v>27</v>
      </c>
      <c r="AU3" s="246" t="s">
        <v>30</v>
      </c>
      <c r="AV3" s="249" t="s">
        <v>32</v>
      </c>
      <c r="AX3" s="247"/>
      <c r="AY3" s="250"/>
      <c r="AZ3" s="126">
        <f>AZ2</f>
        <v>3</v>
      </c>
      <c r="BA3" s="143" t="s">
        <v>23</v>
      </c>
      <c r="BB3" s="126">
        <f>(BC2-AZ2)/2+AZ2</f>
        <v>3.5</v>
      </c>
      <c r="BC3" s="143" t="s">
        <v>23</v>
      </c>
      <c r="BD3" s="144">
        <f>BC2</f>
        <v>4</v>
      </c>
      <c r="BE3" s="145" t="s">
        <v>23</v>
      </c>
      <c r="BF3" s="252" t="s">
        <v>27</v>
      </c>
      <c r="BG3" s="246" t="s">
        <v>30</v>
      </c>
      <c r="BH3" s="249" t="s">
        <v>32</v>
      </c>
      <c r="BJ3" s="247"/>
      <c r="BK3" s="250"/>
      <c r="BL3" s="126">
        <f>BL2</f>
        <v>4</v>
      </c>
      <c r="BM3" s="143" t="s">
        <v>23</v>
      </c>
      <c r="BN3" s="126">
        <f>(BO2-BL2)/2+BL2</f>
        <v>4.5</v>
      </c>
      <c r="BO3" s="143" t="s">
        <v>23</v>
      </c>
      <c r="BP3" s="144">
        <f>BO2</f>
        <v>5</v>
      </c>
      <c r="BQ3" s="145" t="s">
        <v>23</v>
      </c>
      <c r="BR3" s="252" t="s">
        <v>27</v>
      </c>
      <c r="BS3" s="246" t="s">
        <v>30</v>
      </c>
      <c r="BT3" s="249" t="s">
        <v>32</v>
      </c>
      <c r="BV3" s="247"/>
      <c r="BW3" s="250"/>
      <c r="BX3" s="126">
        <f>BX2</f>
        <v>5</v>
      </c>
      <c r="BY3" s="143" t="s">
        <v>23</v>
      </c>
      <c r="BZ3" s="126">
        <f>(CA2-BX2)/2+BX2</f>
        <v>5.5</v>
      </c>
      <c r="CA3" s="143" t="s">
        <v>23</v>
      </c>
      <c r="CB3" s="144">
        <f>CA2</f>
        <v>6</v>
      </c>
      <c r="CC3" s="145" t="s">
        <v>23</v>
      </c>
      <c r="CD3" s="252" t="s">
        <v>27</v>
      </c>
      <c r="CE3" s="246" t="s">
        <v>30</v>
      </c>
      <c r="CF3" s="249" t="s">
        <v>32</v>
      </c>
      <c r="CH3" s="247"/>
      <c r="CI3" s="250"/>
      <c r="CJ3" s="126">
        <f>CJ2</f>
        <v>6</v>
      </c>
      <c r="CK3" s="143" t="s">
        <v>23</v>
      </c>
      <c r="CL3" s="126">
        <f>(CM2-CJ2)/2+CJ2</f>
        <v>6.25</v>
      </c>
      <c r="CM3" s="143" t="s">
        <v>23</v>
      </c>
      <c r="CN3" s="144">
        <f>CM2</f>
        <v>6.5</v>
      </c>
      <c r="CO3" s="145" t="s">
        <v>23</v>
      </c>
      <c r="CP3" s="252" t="s">
        <v>27</v>
      </c>
      <c r="CQ3" s="246" t="s">
        <v>30</v>
      </c>
      <c r="CR3" s="249" t="s">
        <v>32</v>
      </c>
      <c r="CT3" s="247"/>
      <c r="CU3" s="250"/>
      <c r="CV3" s="126">
        <f>CV2</f>
        <v>6.5</v>
      </c>
      <c r="CW3" s="143" t="s">
        <v>23</v>
      </c>
      <c r="CX3" s="126">
        <f>(CY2-CV2)/2+CV2</f>
        <v>6.85</v>
      </c>
      <c r="CY3" s="143" t="s">
        <v>23</v>
      </c>
      <c r="CZ3" s="144">
        <f>CY2</f>
        <v>7.2</v>
      </c>
      <c r="DA3" s="145" t="s">
        <v>23</v>
      </c>
      <c r="DB3" s="252" t="s">
        <v>27</v>
      </c>
      <c r="DC3" s="246" t="s">
        <v>30</v>
      </c>
      <c r="DD3" s="249" t="s">
        <v>32</v>
      </c>
      <c r="DF3" s="247"/>
      <c r="DG3" s="250"/>
      <c r="DH3" s="126">
        <f>DH2</f>
        <v>7.2</v>
      </c>
      <c r="DI3" s="143" t="s">
        <v>23</v>
      </c>
      <c r="DJ3" s="126">
        <f>(DK2-DH2)/2+DH2</f>
        <v>7.5500000000000007</v>
      </c>
      <c r="DK3" s="143" t="s">
        <v>23</v>
      </c>
      <c r="DL3" s="144">
        <f>DK2</f>
        <v>7.9</v>
      </c>
      <c r="DM3" s="145" t="s">
        <v>23</v>
      </c>
      <c r="DN3" s="252" t="s">
        <v>27</v>
      </c>
      <c r="DO3" s="246" t="s">
        <v>30</v>
      </c>
      <c r="DP3" s="249" t="s">
        <v>32</v>
      </c>
      <c r="DR3" s="247"/>
      <c r="DS3" s="250"/>
      <c r="DT3" s="164">
        <f>DT2</f>
        <v>7.9</v>
      </c>
      <c r="DU3" s="145" t="s">
        <v>23</v>
      </c>
      <c r="DV3" s="260" t="s">
        <v>38</v>
      </c>
      <c r="DW3" s="261"/>
      <c r="DX3" s="262"/>
      <c r="DY3" s="255" t="s">
        <v>37</v>
      </c>
      <c r="DZ3" s="256"/>
      <c r="EA3" s="257"/>
      <c r="EB3" s="253" t="s">
        <v>27</v>
      </c>
      <c r="EC3" s="246" t="s">
        <v>30</v>
      </c>
      <c r="ED3" s="249" t="s">
        <v>32</v>
      </c>
    </row>
    <row r="4" spans="1:134" ht="15.75" customHeight="1" thickBot="1" x14ac:dyDescent="0.35">
      <c r="A4" s="23"/>
      <c r="B4" s="247"/>
      <c r="C4" s="250"/>
      <c r="D4" s="27" t="s">
        <v>33</v>
      </c>
      <c r="E4" s="63">
        <v>1</v>
      </c>
      <c r="F4" s="64" t="s">
        <v>33</v>
      </c>
      <c r="G4" s="63">
        <v>4</v>
      </c>
      <c r="H4" s="65" t="s">
        <v>33</v>
      </c>
      <c r="I4" s="18">
        <v>1</v>
      </c>
      <c r="J4" s="247"/>
      <c r="K4" s="247"/>
      <c r="L4" s="250"/>
      <c r="N4" s="247"/>
      <c r="O4" s="250"/>
      <c r="P4" s="27" t="s">
        <v>33</v>
      </c>
      <c r="Q4" s="63">
        <v>1</v>
      </c>
      <c r="R4" s="64" t="s">
        <v>33</v>
      </c>
      <c r="S4" s="63">
        <v>4</v>
      </c>
      <c r="T4" s="65" t="s">
        <v>33</v>
      </c>
      <c r="U4" s="18">
        <v>1</v>
      </c>
      <c r="V4" s="247"/>
      <c r="W4" s="247"/>
      <c r="X4" s="250"/>
      <c r="Z4" s="247"/>
      <c r="AA4" s="250"/>
      <c r="AB4" s="27" t="s">
        <v>33</v>
      </c>
      <c r="AC4" s="63">
        <v>1</v>
      </c>
      <c r="AD4" s="64" t="s">
        <v>33</v>
      </c>
      <c r="AE4" s="63">
        <v>4</v>
      </c>
      <c r="AF4" s="65" t="s">
        <v>33</v>
      </c>
      <c r="AG4" s="18">
        <v>1</v>
      </c>
      <c r="AH4" s="247"/>
      <c r="AI4" s="247"/>
      <c r="AJ4" s="250"/>
      <c r="AL4" s="247"/>
      <c r="AM4" s="250"/>
      <c r="AN4" s="27" t="s">
        <v>33</v>
      </c>
      <c r="AO4" s="63">
        <v>1</v>
      </c>
      <c r="AP4" s="64" t="s">
        <v>33</v>
      </c>
      <c r="AQ4" s="63">
        <v>4</v>
      </c>
      <c r="AR4" s="65" t="s">
        <v>33</v>
      </c>
      <c r="AS4" s="18">
        <v>1</v>
      </c>
      <c r="AT4" s="247"/>
      <c r="AU4" s="247"/>
      <c r="AV4" s="250"/>
      <c r="AX4" s="247"/>
      <c r="AY4" s="250"/>
      <c r="AZ4" s="27" t="s">
        <v>33</v>
      </c>
      <c r="BA4" s="63">
        <v>1</v>
      </c>
      <c r="BB4" s="64" t="s">
        <v>33</v>
      </c>
      <c r="BC4" s="63">
        <v>4</v>
      </c>
      <c r="BD4" s="65" t="s">
        <v>33</v>
      </c>
      <c r="BE4" s="18">
        <v>1</v>
      </c>
      <c r="BF4" s="247"/>
      <c r="BG4" s="247"/>
      <c r="BH4" s="250"/>
      <c r="BJ4" s="247"/>
      <c r="BK4" s="250"/>
      <c r="BL4" s="27" t="s">
        <v>33</v>
      </c>
      <c r="BM4" s="63">
        <v>1</v>
      </c>
      <c r="BN4" s="64" t="s">
        <v>33</v>
      </c>
      <c r="BO4" s="63">
        <v>4</v>
      </c>
      <c r="BP4" s="65" t="s">
        <v>33</v>
      </c>
      <c r="BQ4" s="18">
        <v>1</v>
      </c>
      <c r="BR4" s="247"/>
      <c r="BS4" s="247"/>
      <c r="BT4" s="250"/>
      <c r="BV4" s="247"/>
      <c r="BW4" s="250"/>
      <c r="BX4" s="27" t="s">
        <v>33</v>
      </c>
      <c r="BY4" s="63">
        <v>1</v>
      </c>
      <c r="BZ4" s="64" t="s">
        <v>33</v>
      </c>
      <c r="CA4" s="63">
        <v>4</v>
      </c>
      <c r="CB4" s="65" t="s">
        <v>33</v>
      </c>
      <c r="CC4" s="18">
        <v>1</v>
      </c>
      <c r="CD4" s="247"/>
      <c r="CE4" s="247"/>
      <c r="CF4" s="250"/>
      <c r="CH4" s="247"/>
      <c r="CI4" s="250"/>
      <c r="CJ4" s="27" t="s">
        <v>33</v>
      </c>
      <c r="CK4" s="63">
        <v>1</v>
      </c>
      <c r="CL4" s="64" t="s">
        <v>33</v>
      </c>
      <c r="CM4" s="63">
        <v>4</v>
      </c>
      <c r="CN4" s="65" t="s">
        <v>33</v>
      </c>
      <c r="CO4" s="18">
        <v>1</v>
      </c>
      <c r="CP4" s="247"/>
      <c r="CQ4" s="247"/>
      <c r="CR4" s="250"/>
      <c r="CT4" s="247"/>
      <c r="CU4" s="250"/>
      <c r="CV4" s="27" t="s">
        <v>33</v>
      </c>
      <c r="CW4" s="63">
        <v>1</v>
      </c>
      <c r="CX4" s="64" t="s">
        <v>33</v>
      </c>
      <c r="CY4" s="63">
        <v>4</v>
      </c>
      <c r="CZ4" s="65" t="s">
        <v>33</v>
      </c>
      <c r="DA4" s="18">
        <v>1</v>
      </c>
      <c r="DB4" s="247"/>
      <c r="DC4" s="247"/>
      <c r="DD4" s="250"/>
      <c r="DF4" s="247"/>
      <c r="DG4" s="250"/>
      <c r="DH4" s="27" t="s">
        <v>33</v>
      </c>
      <c r="DI4" s="63">
        <v>1</v>
      </c>
      <c r="DJ4" s="64" t="s">
        <v>33</v>
      </c>
      <c r="DK4" s="63">
        <v>4</v>
      </c>
      <c r="DL4" s="65" t="s">
        <v>33</v>
      </c>
      <c r="DM4" s="18">
        <v>1</v>
      </c>
      <c r="DN4" s="247"/>
      <c r="DO4" s="247"/>
      <c r="DP4" s="250"/>
      <c r="DR4" s="247"/>
      <c r="DS4" s="250"/>
      <c r="DT4" s="27" t="s">
        <v>33</v>
      </c>
      <c r="DU4" s="18">
        <v>1</v>
      </c>
      <c r="DV4" s="64" t="s">
        <v>33</v>
      </c>
      <c r="DW4" s="63">
        <v>4</v>
      </c>
      <c r="DX4" s="258" t="str">
        <f>DV3</f>
        <v>(Z-WL terakhir)/2+WL Terakhir</v>
      </c>
      <c r="DY4" s="64" t="s">
        <v>33</v>
      </c>
      <c r="DZ4" s="18">
        <v>1</v>
      </c>
      <c r="EA4" s="263" t="s">
        <v>37</v>
      </c>
      <c r="EB4" s="250"/>
      <c r="EC4" s="247"/>
      <c r="ED4" s="250"/>
    </row>
    <row r="5" spans="1:134" ht="23.4" customHeight="1" thickBot="1" x14ac:dyDescent="0.35">
      <c r="A5" s="23"/>
      <c r="B5" s="248"/>
      <c r="C5" s="251"/>
      <c r="D5" s="33" t="s">
        <v>26</v>
      </c>
      <c r="E5" s="34" t="s">
        <v>25</v>
      </c>
      <c r="F5" s="33" t="s">
        <v>26</v>
      </c>
      <c r="G5" s="35" t="s">
        <v>25</v>
      </c>
      <c r="H5" s="36" t="s">
        <v>26</v>
      </c>
      <c r="I5" s="37" t="s">
        <v>25</v>
      </c>
      <c r="J5" s="248"/>
      <c r="K5" s="248"/>
      <c r="L5" s="254"/>
      <c r="N5" s="248"/>
      <c r="O5" s="251"/>
      <c r="P5" s="33" t="s">
        <v>26</v>
      </c>
      <c r="Q5" s="34" t="s">
        <v>25</v>
      </c>
      <c r="R5" s="33" t="s">
        <v>26</v>
      </c>
      <c r="S5" s="35" t="s">
        <v>25</v>
      </c>
      <c r="T5" s="36" t="s">
        <v>26</v>
      </c>
      <c r="U5" s="37" t="s">
        <v>25</v>
      </c>
      <c r="V5" s="248"/>
      <c r="W5" s="248"/>
      <c r="X5" s="251"/>
      <c r="Z5" s="248"/>
      <c r="AA5" s="251"/>
      <c r="AB5" s="33" t="s">
        <v>26</v>
      </c>
      <c r="AC5" s="34" t="s">
        <v>25</v>
      </c>
      <c r="AD5" s="33" t="s">
        <v>26</v>
      </c>
      <c r="AE5" s="35" t="s">
        <v>25</v>
      </c>
      <c r="AF5" s="36" t="s">
        <v>26</v>
      </c>
      <c r="AG5" s="37" t="s">
        <v>25</v>
      </c>
      <c r="AH5" s="248"/>
      <c r="AI5" s="248"/>
      <c r="AJ5" s="251"/>
      <c r="AL5" s="248"/>
      <c r="AM5" s="251"/>
      <c r="AN5" s="33" t="s">
        <v>26</v>
      </c>
      <c r="AO5" s="34" t="s">
        <v>25</v>
      </c>
      <c r="AP5" s="33" t="s">
        <v>26</v>
      </c>
      <c r="AQ5" s="35" t="s">
        <v>25</v>
      </c>
      <c r="AR5" s="36" t="s">
        <v>26</v>
      </c>
      <c r="AS5" s="37" t="s">
        <v>25</v>
      </c>
      <c r="AT5" s="248"/>
      <c r="AU5" s="248"/>
      <c r="AV5" s="251"/>
      <c r="AX5" s="248"/>
      <c r="AY5" s="251"/>
      <c r="AZ5" s="33" t="s">
        <v>26</v>
      </c>
      <c r="BA5" s="34" t="s">
        <v>25</v>
      </c>
      <c r="BB5" s="33" t="s">
        <v>26</v>
      </c>
      <c r="BC5" s="35" t="s">
        <v>25</v>
      </c>
      <c r="BD5" s="36" t="s">
        <v>26</v>
      </c>
      <c r="BE5" s="37" t="s">
        <v>25</v>
      </c>
      <c r="BF5" s="248"/>
      <c r="BG5" s="248"/>
      <c r="BH5" s="251"/>
      <c r="BJ5" s="248"/>
      <c r="BK5" s="251"/>
      <c r="BL5" s="33" t="s">
        <v>26</v>
      </c>
      <c r="BM5" s="34" t="s">
        <v>25</v>
      </c>
      <c r="BN5" s="33" t="s">
        <v>26</v>
      </c>
      <c r="BO5" s="35" t="s">
        <v>25</v>
      </c>
      <c r="BP5" s="36" t="s">
        <v>26</v>
      </c>
      <c r="BQ5" s="37" t="s">
        <v>25</v>
      </c>
      <c r="BR5" s="248"/>
      <c r="BS5" s="248"/>
      <c r="BT5" s="251"/>
      <c r="BV5" s="248"/>
      <c r="BW5" s="251"/>
      <c r="BX5" s="33" t="s">
        <v>26</v>
      </c>
      <c r="BY5" s="34" t="s">
        <v>25</v>
      </c>
      <c r="BZ5" s="33" t="s">
        <v>26</v>
      </c>
      <c r="CA5" s="35" t="s">
        <v>25</v>
      </c>
      <c r="CB5" s="36" t="s">
        <v>26</v>
      </c>
      <c r="CC5" s="37" t="s">
        <v>25</v>
      </c>
      <c r="CD5" s="248"/>
      <c r="CE5" s="248"/>
      <c r="CF5" s="251"/>
      <c r="CH5" s="248"/>
      <c r="CI5" s="251"/>
      <c r="CJ5" s="118" t="s">
        <v>26</v>
      </c>
      <c r="CK5" s="119" t="s">
        <v>25</v>
      </c>
      <c r="CL5" s="33" t="s">
        <v>26</v>
      </c>
      <c r="CM5" s="35" t="s">
        <v>25</v>
      </c>
      <c r="CN5" s="36" t="s">
        <v>26</v>
      </c>
      <c r="CO5" s="37" t="s">
        <v>25</v>
      </c>
      <c r="CP5" s="248"/>
      <c r="CQ5" s="248"/>
      <c r="CR5" s="251"/>
      <c r="CT5" s="248"/>
      <c r="CU5" s="251"/>
      <c r="CV5" s="118" t="s">
        <v>26</v>
      </c>
      <c r="CW5" s="119" t="s">
        <v>25</v>
      </c>
      <c r="CX5" s="33" t="s">
        <v>26</v>
      </c>
      <c r="CY5" s="35" t="s">
        <v>25</v>
      </c>
      <c r="CZ5" s="36" t="s">
        <v>26</v>
      </c>
      <c r="DA5" s="37" t="s">
        <v>25</v>
      </c>
      <c r="DB5" s="248"/>
      <c r="DC5" s="248"/>
      <c r="DD5" s="251"/>
      <c r="DF5" s="248"/>
      <c r="DG5" s="251"/>
      <c r="DH5" s="118" t="s">
        <v>26</v>
      </c>
      <c r="DI5" s="119" t="s">
        <v>25</v>
      </c>
      <c r="DJ5" s="33" t="s">
        <v>26</v>
      </c>
      <c r="DK5" s="35" t="s">
        <v>25</v>
      </c>
      <c r="DL5" s="36" t="s">
        <v>26</v>
      </c>
      <c r="DM5" s="37" t="s">
        <v>25</v>
      </c>
      <c r="DN5" s="248"/>
      <c r="DO5" s="248"/>
      <c r="DP5" s="251"/>
      <c r="DR5" s="248"/>
      <c r="DS5" s="251"/>
      <c r="DT5" s="200" t="s">
        <v>26</v>
      </c>
      <c r="DU5" s="202" t="s">
        <v>25</v>
      </c>
      <c r="DV5" s="201" t="s">
        <v>26</v>
      </c>
      <c r="DW5" s="202" t="s">
        <v>25</v>
      </c>
      <c r="DX5" s="259"/>
      <c r="DY5" s="201" t="s">
        <v>26</v>
      </c>
      <c r="DZ5" s="202" t="s">
        <v>25</v>
      </c>
      <c r="EA5" s="264"/>
      <c r="EB5" s="254"/>
      <c r="EC5" s="248"/>
      <c r="ED5" s="251"/>
    </row>
    <row r="6" spans="1:134" ht="14.4" thickBot="1" x14ac:dyDescent="0.35">
      <c r="A6" s="23"/>
      <c r="B6" s="130" t="str">
        <f>'Tabel Offset'!$A7</f>
        <v>AP</v>
      </c>
      <c r="C6" s="46">
        <f>IF(B6="AP",0,IF(B6="FP",'Tabel Offset'!$AA$4,B6/20*'Tabel Offset'!$AA$4))</f>
        <v>0</v>
      </c>
      <c r="D6" s="49">
        <f>'Tabel Offset'!B7</f>
        <v>0</v>
      </c>
      <c r="E6" s="46">
        <f>D6*E$4</f>
        <v>0</v>
      </c>
      <c r="F6" s="49">
        <f>'Tabel Offset'!C7</f>
        <v>0</v>
      </c>
      <c r="G6" s="87">
        <f>F6*G$4</f>
        <v>0</v>
      </c>
      <c r="H6" s="31">
        <f>'Tabel Offset'!D7</f>
        <v>0</v>
      </c>
      <c r="I6" s="38">
        <f>H6*I$4</f>
        <v>0</v>
      </c>
      <c r="J6" s="52">
        <f>SUM(E6,G6,I6)</f>
        <v>0</v>
      </c>
      <c r="K6" s="55">
        <f>2*1/3*J$2*J6</f>
        <v>0</v>
      </c>
      <c r="L6" s="61">
        <f>K6</f>
        <v>0</v>
      </c>
      <c r="N6" s="32" t="str">
        <f>'Tabel Offset'!$A7</f>
        <v>AP</v>
      </c>
      <c r="O6" s="46">
        <f>IF(N6="AP",0,IF(N6="FP",'Tabel Offset'!$AA$4,N6/20*'Tabel Offset'!$AA$4))</f>
        <v>0</v>
      </c>
      <c r="P6" s="31">
        <f>'Tabel Offset'!D5</f>
        <v>0</v>
      </c>
      <c r="Q6" s="41">
        <f>P6*Q$4</f>
        <v>0</v>
      </c>
      <c r="R6" s="31">
        <f>'Tabel Offset'!E7</f>
        <v>0</v>
      </c>
      <c r="S6" s="41">
        <f>R6*S$4</f>
        <v>0</v>
      </c>
      <c r="T6" s="31">
        <f>'Tabel Offset'!F7</f>
        <v>0</v>
      </c>
      <c r="U6" s="38">
        <f>T6*U$4</f>
        <v>0</v>
      </c>
      <c r="V6" s="52">
        <f>SUM(Q6,S6,U6)</f>
        <v>0</v>
      </c>
      <c r="W6" s="55">
        <f>2*1/3*V$2*V6</f>
        <v>0</v>
      </c>
      <c r="X6" s="61">
        <f>W6+L6</f>
        <v>0</v>
      </c>
      <c r="Z6" s="32" t="str">
        <f>'Tabel Offset'!$A7</f>
        <v>AP</v>
      </c>
      <c r="AA6" s="46">
        <f>IF(Z6="AP",0,IF(Z6="FP",'Tabel Offset'!$AA$4,Z6/20*'Tabel Offset'!$AA$4))</f>
        <v>0</v>
      </c>
      <c r="AB6" s="31">
        <f>'Tabel Offset'!F7</f>
        <v>0</v>
      </c>
      <c r="AC6" s="41">
        <f>AB6*AC$4</f>
        <v>0</v>
      </c>
      <c r="AD6" s="31">
        <f>'Tabel Offset'!G7</f>
        <v>0</v>
      </c>
      <c r="AE6" s="41">
        <f>AD6*AE$4</f>
        <v>0</v>
      </c>
      <c r="AF6" s="31">
        <f>'Tabel Offset'!H7</f>
        <v>0</v>
      </c>
      <c r="AG6" s="38">
        <f>AF6*AG$4</f>
        <v>0</v>
      </c>
      <c r="AH6" s="52">
        <f>SUM(AC6,AE6,AG6)</f>
        <v>0</v>
      </c>
      <c r="AI6" s="55">
        <f>2*1/3*AH$2*AH6</f>
        <v>0</v>
      </c>
      <c r="AJ6" s="61">
        <f>AI6+X6</f>
        <v>0</v>
      </c>
      <c r="AL6" s="32" t="str">
        <f>'Tabel Offset'!$A7</f>
        <v>AP</v>
      </c>
      <c r="AM6" s="46">
        <f>IF(AL6="AP",0,IF(AL6="FP",'Tabel Offset'!$AA$4,AL6/20*'Tabel Offset'!$AA$4))</f>
        <v>0</v>
      </c>
      <c r="AN6" s="31">
        <f>'Tabel Offset'!H7</f>
        <v>0</v>
      </c>
      <c r="AO6" s="41">
        <f>AN6*AO$4</f>
        <v>0</v>
      </c>
      <c r="AP6" s="90">
        <f>'Tabel Offset'!I7</f>
        <v>0</v>
      </c>
      <c r="AQ6" s="41">
        <f>AP6*AQ$4</f>
        <v>0</v>
      </c>
      <c r="AR6" s="31">
        <f>'Tabel Offset'!J7</f>
        <v>0</v>
      </c>
      <c r="AS6" s="38">
        <f>AR6*AS$4</f>
        <v>0</v>
      </c>
      <c r="AT6" s="52">
        <f>SUM(AO6,AQ6,AS6)</f>
        <v>0</v>
      </c>
      <c r="AU6" s="55">
        <f>2*1/3*AT$2*AT6</f>
        <v>0</v>
      </c>
      <c r="AV6" s="61">
        <f>AU6+AJ6</f>
        <v>0</v>
      </c>
      <c r="AX6" s="32" t="str">
        <f>'Tabel Offset'!$A7</f>
        <v>AP</v>
      </c>
      <c r="AY6" s="46">
        <f>IF(AX6="AP",0,IF(AX6="FP",'Tabel Offset'!$AA$4,AX6/20*'Tabel Offset'!$AA$4))</f>
        <v>0</v>
      </c>
      <c r="AZ6" s="31">
        <f>'Tabel Offset'!J7</f>
        <v>0</v>
      </c>
      <c r="BA6" s="41">
        <f>AZ6*BA$4</f>
        <v>0</v>
      </c>
      <c r="BB6" s="31">
        <f>'Tabel Offset'!K7</f>
        <v>0</v>
      </c>
      <c r="BC6" s="41">
        <f>BB6*BC$4</f>
        <v>0</v>
      </c>
      <c r="BD6" s="31">
        <f>'Tabel Offset'!L7</f>
        <v>0</v>
      </c>
      <c r="BE6" s="38">
        <f>BD6*BE$4</f>
        <v>0</v>
      </c>
      <c r="BF6" s="52">
        <f>SUM(BA6,BC6,BE6)</f>
        <v>0</v>
      </c>
      <c r="BG6" s="55">
        <f>2*1/3*BF$2*BF6</f>
        <v>0</v>
      </c>
      <c r="BH6" s="61">
        <f>BG6+AV6</f>
        <v>0</v>
      </c>
      <c r="BJ6" s="32" t="str">
        <f>'Tabel Offset'!$A7</f>
        <v>AP</v>
      </c>
      <c r="BK6" s="46">
        <f>IF(BJ6="AP",0,IF(BJ6="FP",'Tabel Offset'!$AA$4,BJ6/20*'Tabel Offset'!$AA$4))</f>
        <v>0</v>
      </c>
      <c r="BL6" s="31">
        <f>'Tabel Offset'!L7</f>
        <v>0</v>
      </c>
      <c r="BM6" s="41">
        <f>BL6*BM$4</f>
        <v>0</v>
      </c>
      <c r="BN6" s="31">
        <f>'Tabel Offset'!M7</f>
        <v>0</v>
      </c>
      <c r="BO6" s="41">
        <f>BN6*BO$4</f>
        <v>0</v>
      </c>
      <c r="BP6" s="31">
        <f>'Tabel Offset'!N7</f>
        <v>0</v>
      </c>
      <c r="BQ6" s="38">
        <f>BP6*BQ$4</f>
        <v>0</v>
      </c>
      <c r="BR6" s="52">
        <f>SUM(BM6,BO6,BQ6)</f>
        <v>0</v>
      </c>
      <c r="BS6" s="55">
        <f>2*1/3*BR$2*BR6</f>
        <v>0</v>
      </c>
      <c r="BT6" s="61">
        <f>BS6+BH6</f>
        <v>0</v>
      </c>
      <c r="BV6" s="32" t="str">
        <f>'Tabel Offset'!$A7</f>
        <v>AP</v>
      </c>
      <c r="BW6" s="46">
        <f>IF(BV6="AP",0,IF(BV6="FP",'Tabel Offset'!$AA$4,BV6/20*'Tabel Offset'!$AA$4))</f>
        <v>0</v>
      </c>
      <c r="BX6" s="31">
        <f>'Tabel Offset'!N7</f>
        <v>0</v>
      </c>
      <c r="BY6" s="41">
        <f>BX6*BY$4</f>
        <v>0</v>
      </c>
      <c r="BZ6" s="31">
        <f>'Tabel Offset'!O7</f>
        <v>0.66059999999999997</v>
      </c>
      <c r="CA6" s="41">
        <f>BZ6*CA$4</f>
        <v>2.6423999999999999</v>
      </c>
      <c r="CB6" s="31">
        <f>'Tabel Offset'!P7</f>
        <v>1.6519999999999999</v>
      </c>
      <c r="CC6" s="38">
        <f>CB6*CC$4</f>
        <v>1.6519999999999999</v>
      </c>
      <c r="CD6" s="52">
        <f>SUM(BY6,CA6,CC6)</f>
        <v>4.2943999999999996</v>
      </c>
      <c r="CE6" s="55">
        <f>2*1/3*CD$2*CD6</f>
        <v>1.4314666666666664</v>
      </c>
      <c r="CF6" s="61">
        <f>CE6+BT6</f>
        <v>1.4314666666666664</v>
      </c>
      <c r="CH6" s="32" t="str">
        <f>'Tabel Offset'!$A7</f>
        <v>AP</v>
      </c>
      <c r="CI6" s="46">
        <f>IF(CH6="AP",0,IF(CH6="FP",'Tabel Offset'!$AA$4,CH6/20*'Tabel Offset'!$AA$4))</f>
        <v>0</v>
      </c>
      <c r="CJ6" s="31">
        <f>'Tabel Offset'!P7</f>
        <v>1.6519999999999999</v>
      </c>
      <c r="CK6" s="76">
        <f>CJ6*CK$4</f>
        <v>1.6519999999999999</v>
      </c>
      <c r="CL6" s="31">
        <f>'Tabel Offset'!Q7</f>
        <v>2.0552000000000001</v>
      </c>
      <c r="CM6" s="41">
        <f>CL6*CM$4</f>
        <v>8.2208000000000006</v>
      </c>
      <c r="CN6" s="31">
        <f>'Tabel Offset'!R7</f>
        <v>2.4420000000000002</v>
      </c>
      <c r="CO6" s="38">
        <f>CN6*CO$4</f>
        <v>2.4420000000000002</v>
      </c>
      <c r="CP6" s="52">
        <f>SUM(CK6,CM6,CO6)</f>
        <v>12.3148</v>
      </c>
      <c r="CQ6" s="55">
        <f>2*1/3*CP$2*CP6</f>
        <v>2.0524666666666667</v>
      </c>
      <c r="CR6" s="61">
        <f>CQ6+CF6</f>
        <v>3.4839333333333329</v>
      </c>
      <c r="CT6" s="32" t="str">
        <f>'Tabel Offset'!$A7</f>
        <v>AP</v>
      </c>
      <c r="CU6" s="46">
        <f>IF(CT6="AP",0,IF(CT6="FP",'Tabel Offset'!$AA$4,CT6/20*'Tabel Offset'!$AA$4))</f>
        <v>0</v>
      </c>
      <c r="CV6" s="31">
        <f>'Tabel Offset'!R7</f>
        <v>2.4420000000000002</v>
      </c>
      <c r="CW6" s="76">
        <f>CV6*CW$4</f>
        <v>2.4420000000000002</v>
      </c>
      <c r="CX6" s="31">
        <f>'Tabel Offset'!S7</f>
        <v>2.9634999999999998</v>
      </c>
      <c r="CY6" s="41">
        <f>CX6*CY$4</f>
        <v>11.853999999999999</v>
      </c>
      <c r="CZ6" s="31">
        <f>'Tabel Offset'!T7</f>
        <v>3.4636999999999998</v>
      </c>
      <c r="DA6" s="38">
        <f>CZ6*DA$4</f>
        <v>3.4636999999999998</v>
      </c>
      <c r="DB6" s="52">
        <f>SUM(CW6,CY6,DA6)</f>
        <v>17.759699999999999</v>
      </c>
      <c r="DC6" s="55">
        <f>2*1/3*DB$2*DB6</f>
        <v>4.143930000000001</v>
      </c>
      <c r="DD6" s="61">
        <f>DC6+CR6</f>
        <v>7.6278633333333339</v>
      </c>
      <c r="DF6" s="32" t="str">
        <f>'Tabel Offset'!$A7</f>
        <v>AP</v>
      </c>
      <c r="DG6" s="46">
        <f>IF(DF6="AP",0,IF(DF6="FP",'Tabel Offset'!$AA$4,DF6/20*'Tabel Offset'!$AA$4))</f>
        <v>0</v>
      </c>
      <c r="DH6" s="31">
        <f>'Tabel Offset'!T7</f>
        <v>3.4636999999999998</v>
      </c>
      <c r="DI6" s="76">
        <f>DH6*DI$4</f>
        <v>3.4636999999999998</v>
      </c>
      <c r="DJ6" s="31">
        <f>'Tabel Offset'!U7</f>
        <v>3.9378000000000002</v>
      </c>
      <c r="DK6" s="41">
        <f>DJ6*DK$4</f>
        <v>15.751200000000001</v>
      </c>
      <c r="DL6" s="31">
        <f>'Tabel Offset'!V7</f>
        <v>4.3810000000000002</v>
      </c>
      <c r="DM6" s="38">
        <f>DL6*DM$4</f>
        <v>4.3810000000000002</v>
      </c>
      <c r="DN6" s="52">
        <f>SUM(DI6,DK6,DM6)</f>
        <v>23.5959</v>
      </c>
      <c r="DO6" s="55">
        <f>2*1/3*DN$2*DN6</f>
        <v>5.5057100000000014</v>
      </c>
      <c r="DP6" s="61">
        <f>DO6+DD6</f>
        <v>13.133573333333334</v>
      </c>
      <c r="DR6" s="32" t="str">
        <f>'Tabel Offset'!$A7</f>
        <v>AP</v>
      </c>
      <c r="DS6" s="46">
        <f>IF(DR6="AP",0,IF(DR6="FP",'Tabel Offset'!$AA$4,DR6/20*'Tabel Offset'!$AA$4))</f>
        <v>0</v>
      </c>
      <c r="DT6" s="31">
        <f>'Tabel Offset'!V7</f>
        <v>4.3810000000000002</v>
      </c>
      <c r="DU6" s="41">
        <f>DT6*DU$4</f>
        <v>4.3810000000000002</v>
      </c>
      <c r="DV6" s="78">
        <v>5.0115999999999996</v>
      </c>
      <c r="DW6" s="76">
        <f>DV6*DW$4</f>
        <v>20.046399999999998</v>
      </c>
      <c r="DX6" s="77">
        <f>(EA6-DT$2)/2+DT$2</f>
        <v>8.3972499999999997</v>
      </c>
      <c r="DY6" s="78">
        <v>5.2110000000000003</v>
      </c>
      <c r="DZ6" s="79">
        <f t="shared" ref="DZ6:DZ30" si="0">DY6*DZ$4</f>
        <v>5.2110000000000003</v>
      </c>
      <c r="EA6" s="78">
        <v>8.8945000000000007</v>
      </c>
      <c r="EB6" s="52">
        <f t="shared" ref="EB6:EB27" si="1">SUM(DU6,DW6,DZ6)</f>
        <v>29.638399999999997</v>
      </c>
      <c r="EC6" s="55">
        <f>2*1/3*((EA6-DT$2)/2)*EB6</f>
        <v>9.8251296000000021</v>
      </c>
      <c r="ED6" s="61">
        <f>EC6+DP6</f>
        <v>22.958702933333335</v>
      </c>
    </row>
    <row r="7" spans="1:134" ht="14.4" thickBot="1" x14ac:dyDescent="0.35">
      <c r="A7" s="23"/>
      <c r="B7" s="130">
        <f>'Tabel Offset'!$A8</f>
        <v>0.5</v>
      </c>
      <c r="C7" s="47">
        <f>IF(B7="AP",0,IF(B7="FP",'Tabel Offset'!$AA$4,B7/20*'Tabel Offset'!$AA$4))</f>
        <v>2.3767499999999999</v>
      </c>
      <c r="D7" s="50">
        <f>'Tabel Offset'!B8</f>
        <v>0</v>
      </c>
      <c r="E7" s="47">
        <f t="shared" ref="E7:E30" si="2">D7*E$4</f>
        <v>0</v>
      </c>
      <c r="F7" s="50">
        <f>'Tabel Offset'!C8</f>
        <v>0</v>
      </c>
      <c r="G7" s="88">
        <f t="shared" ref="G7:G30" si="3">F7*G$4</f>
        <v>0</v>
      </c>
      <c r="H7" s="29">
        <f>'Tabel Offset'!D8</f>
        <v>0</v>
      </c>
      <c r="I7" s="39">
        <f t="shared" ref="I7:I30" si="4">H7*I$4</f>
        <v>0</v>
      </c>
      <c r="J7" s="53">
        <f t="shared" ref="J7:J30" si="5">SUM(E7,G7,I7)</f>
        <v>0</v>
      </c>
      <c r="K7" s="56">
        <f t="shared" ref="K7:K30" si="6">2*1/3*J$2*J7</f>
        <v>0</v>
      </c>
      <c r="L7" s="58">
        <f t="shared" ref="L7:L30" si="7">K7</f>
        <v>0</v>
      </c>
      <c r="N7" s="32">
        <f>'Tabel Offset'!$A8</f>
        <v>0.5</v>
      </c>
      <c r="O7" s="47">
        <f>IF(N7="AP",0,IF(N7="FP",'Tabel Offset'!$AA$4,N7/20*'Tabel Offset'!$AA$4))</f>
        <v>2.3767499999999999</v>
      </c>
      <c r="P7" s="29">
        <f>'Tabel Offset'!D8</f>
        <v>0</v>
      </c>
      <c r="Q7" s="42">
        <f t="shared" ref="Q7:Q9" si="8">P7*Q$4</f>
        <v>0</v>
      </c>
      <c r="R7" s="29">
        <f>'Tabel Offset'!E8</f>
        <v>0</v>
      </c>
      <c r="S7" s="42">
        <f t="shared" ref="S7:S9" si="9">R7*S$4</f>
        <v>0</v>
      </c>
      <c r="T7" s="29">
        <f>'Tabel Offset'!F8</f>
        <v>0.126</v>
      </c>
      <c r="U7" s="39">
        <f t="shared" ref="U7:U9" si="10">T7*U$4</f>
        <v>0.126</v>
      </c>
      <c r="V7" s="53">
        <f t="shared" ref="V7:V9" si="11">SUM(Q7,S7,U7)</f>
        <v>0.126</v>
      </c>
      <c r="W7" s="56">
        <f t="shared" ref="W7:W9" si="12">2*1/3*V$2*V7</f>
        <v>2.0999999999999998E-2</v>
      </c>
      <c r="X7" s="59">
        <f t="shared" ref="X7:X9" si="13">W7+L7</f>
        <v>2.0999999999999998E-2</v>
      </c>
      <c r="Z7" s="32">
        <f>'Tabel Offset'!$A8</f>
        <v>0.5</v>
      </c>
      <c r="AA7" s="47">
        <f>IF(Z7="AP",0,IF(Z7="FP",'Tabel Offset'!$AA$4,Z7/20*'Tabel Offset'!$AA$4))</f>
        <v>2.3767499999999999</v>
      </c>
      <c r="AB7" s="29">
        <f>'Tabel Offset'!F8</f>
        <v>0.126</v>
      </c>
      <c r="AC7" s="42">
        <f t="shared" ref="AC7:AC30" si="14">AB7*AC$4</f>
        <v>0.126</v>
      </c>
      <c r="AD7" s="29">
        <f>'Tabel Offset'!G8</f>
        <v>0.40799999999999997</v>
      </c>
      <c r="AE7" s="42">
        <f t="shared" ref="AE7:AE30" si="15">AD7*AE$4</f>
        <v>1.6319999999999999</v>
      </c>
      <c r="AF7" s="29">
        <f>'Tabel Offset'!H8</f>
        <v>0.57899999999999996</v>
      </c>
      <c r="AG7" s="39">
        <f t="shared" ref="AG7:AG30" si="16">AF7*AG$4</f>
        <v>0.57899999999999996</v>
      </c>
      <c r="AH7" s="53">
        <f t="shared" ref="AH7:AH30" si="17">SUM(AC7,AE7,AG7)</f>
        <v>2.3369999999999997</v>
      </c>
      <c r="AI7" s="56">
        <f t="shared" ref="AI7:AI30" si="18">2*1/3*AH$2*AH7</f>
        <v>0.77899999999999991</v>
      </c>
      <c r="AJ7" s="59">
        <f t="shared" ref="AJ7:AJ30" si="19">AI7+X7</f>
        <v>0.79999999999999993</v>
      </c>
      <c r="AL7" s="32">
        <f>'Tabel Offset'!$A8</f>
        <v>0.5</v>
      </c>
      <c r="AM7" s="47">
        <f>IF(AL7="AP",0,IF(AL7="FP",'Tabel Offset'!$AA$4,AL7/20*'Tabel Offset'!$AA$4))</f>
        <v>2.3767499999999999</v>
      </c>
      <c r="AN7" s="29">
        <f>'Tabel Offset'!H8</f>
        <v>0.57899999999999996</v>
      </c>
      <c r="AO7" s="42">
        <f t="shared" ref="AO7:AO30" si="20">AN7*AO$4</f>
        <v>0.57899999999999996</v>
      </c>
      <c r="AP7" s="90">
        <f>'Tabel Offset'!I8</f>
        <v>0.72599999999999998</v>
      </c>
      <c r="AQ7" s="42">
        <f t="shared" ref="AQ7:AQ30" si="21">AP7*AQ$4</f>
        <v>2.9039999999999999</v>
      </c>
      <c r="AR7" s="29">
        <f>'Tabel Offset'!J8</f>
        <v>0.84160000000000001</v>
      </c>
      <c r="AS7" s="39">
        <f t="shared" ref="AS7:AS30" si="22">AR7*AS$4</f>
        <v>0.84160000000000001</v>
      </c>
      <c r="AT7" s="53">
        <f t="shared" ref="AT7:AT30" si="23">SUM(AO7,AQ7,AS7)</f>
        <v>4.3245999999999993</v>
      </c>
      <c r="AU7" s="56">
        <f t="shared" ref="AU7:AU30" si="24">2*1/3*AT$2*AT7</f>
        <v>1.4415333333333331</v>
      </c>
      <c r="AV7" s="59">
        <f t="shared" ref="AV7:AV30" si="25">AU7+AJ7</f>
        <v>2.2415333333333329</v>
      </c>
      <c r="AX7" s="32">
        <f>'Tabel Offset'!$A8</f>
        <v>0.5</v>
      </c>
      <c r="AY7" s="47">
        <f>IF(AX7="AP",0,IF(AX7="FP",'Tabel Offset'!$AA$4,AX7/20*'Tabel Offset'!$AA$4))</f>
        <v>2.3767499999999999</v>
      </c>
      <c r="AZ7" s="29">
        <f>'Tabel Offset'!J8</f>
        <v>0.84160000000000001</v>
      </c>
      <c r="BA7" s="42">
        <f t="shared" ref="BA7:BA30" si="26">AZ7*BA$4</f>
        <v>0.84160000000000001</v>
      </c>
      <c r="BB7" s="29">
        <f>'Tabel Offset'!K8</f>
        <v>0.92779999999999996</v>
      </c>
      <c r="BC7" s="42">
        <f t="shared" ref="BC7:BC30" si="27">BB7*BC$4</f>
        <v>3.7111999999999998</v>
      </c>
      <c r="BD7" s="29">
        <f>'Tabel Offset'!L8</f>
        <v>1.0851999999999999</v>
      </c>
      <c r="BE7" s="39">
        <f t="shared" ref="BE7:BE30" si="28">BD7*BE$4</f>
        <v>1.0851999999999999</v>
      </c>
      <c r="BF7" s="53">
        <f t="shared" ref="BF7:BF30" si="29">SUM(BA7,BC7,BE7)</f>
        <v>5.6379999999999999</v>
      </c>
      <c r="BG7" s="56">
        <f t="shared" ref="BG7:BG30" si="30">2*1/3*BF$2*BF7</f>
        <v>1.8793333333333333</v>
      </c>
      <c r="BH7" s="59">
        <f t="shared" ref="BH7:BH30" si="31">BG7+AV7</f>
        <v>4.1208666666666662</v>
      </c>
      <c r="BJ7" s="44">
        <f>'Tabel Offset'!$A8</f>
        <v>0.5</v>
      </c>
      <c r="BK7" s="47">
        <f>IF(BJ7="AP",0,IF(BJ7="FP",'Tabel Offset'!$AA$4,BJ7/20*'Tabel Offset'!$AA$4))</f>
        <v>2.3767499999999999</v>
      </c>
      <c r="BL7" s="29">
        <f>'Tabel Offset'!L8</f>
        <v>1.0851999999999999</v>
      </c>
      <c r="BM7" s="42">
        <f t="shared" ref="BM7:BM30" si="32">BL7*BM$4</f>
        <v>1.0851999999999999</v>
      </c>
      <c r="BN7" s="29">
        <f>'Tabel Offset'!M8</f>
        <v>1.4456</v>
      </c>
      <c r="BO7" s="42">
        <f t="shared" ref="BO7:BO30" si="33">BN7*BO$4</f>
        <v>5.7824</v>
      </c>
      <c r="BP7" s="29">
        <f>'Tabel Offset'!N8</f>
        <v>1.9207000000000001</v>
      </c>
      <c r="BQ7" s="39">
        <f t="shared" ref="BQ7:BQ30" si="34">BP7*BQ$4</f>
        <v>1.9207000000000001</v>
      </c>
      <c r="BR7" s="53">
        <f t="shared" ref="BR7:BR30" si="35">SUM(BM7,BO7,BQ7)</f>
        <v>8.7882999999999996</v>
      </c>
      <c r="BS7" s="56">
        <f t="shared" ref="BS7:BS30" si="36">2*1/3*BR$2*BR7</f>
        <v>2.9294333333333329</v>
      </c>
      <c r="BT7" s="59">
        <f t="shared" ref="BT7:BT30" si="37">BS7+BH7</f>
        <v>7.0502999999999991</v>
      </c>
      <c r="BV7" s="44">
        <f>'Tabel Offset'!$A8</f>
        <v>0.5</v>
      </c>
      <c r="BW7" s="47">
        <f>IF(BV7="AP",0,IF(BV7="FP",'Tabel Offset'!$AA$4,BV7/20*'Tabel Offset'!$AA$4))</f>
        <v>2.3767499999999999</v>
      </c>
      <c r="BX7" s="29">
        <f>'Tabel Offset'!N8</f>
        <v>1.9207000000000001</v>
      </c>
      <c r="BY7" s="42">
        <f t="shared" ref="BY7:BY30" si="38">BX7*BY$4</f>
        <v>1.9207000000000001</v>
      </c>
      <c r="BZ7" s="29">
        <f>'Tabel Offset'!O8</f>
        <v>2.4032</v>
      </c>
      <c r="CA7" s="42">
        <f t="shared" ref="CA7:CA30" si="39">BZ7*CA$4</f>
        <v>9.6128</v>
      </c>
      <c r="CB7" s="31">
        <f>'Tabel Offset'!P8</f>
        <v>2.9306000000000001</v>
      </c>
      <c r="CC7" s="39">
        <f t="shared" ref="CC7:CC30" si="40">CB7*CC$4</f>
        <v>2.9306000000000001</v>
      </c>
      <c r="CD7" s="53">
        <f t="shared" ref="CD7:CD30" si="41">SUM(BY7,CA7,CC7)</f>
        <v>14.4641</v>
      </c>
      <c r="CE7" s="56">
        <f t="shared" ref="CE7:CE30" si="42">2*1/3*CD$2*CD7</f>
        <v>4.8213666666666661</v>
      </c>
      <c r="CF7" s="59">
        <f t="shared" ref="CF7:CF30" si="43">CE7+BT7</f>
        <v>11.871666666666666</v>
      </c>
      <c r="CH7" s="44">
        <f>'Tabel Offset'!$A8</f>
        <v>0.5</v>
      </c>
      <c r="CI7" s="47">
        <f>IF(CH7="AP",0,IF(CH7="FP",'Tabel Offset'!$AA$4,CH7/20*'Tabel Offset'!$AA$4))</f>
        <v>2.3767499999999999</v>
      </c>
      <c r="CJ7" s="31">
        <f>'Tabel Offset'!P8</f>
        <v>2.9306000000000001</v>
      </c>
      <c r="CK7" s="42">
        <f t="shared" ref="CK7:CK30" si="44">CJ7*CK$4</f>
        <v>2.9306000000000001</v>
      </c>
      <c r="CL7" s="31">
        <f>'Tabel Offset'!Q8</f>
        <v>3.2115</v>
      </c>
      <c r="CM7" s="42">
        <f t="shared" ref="CM7:CM30" si="45">CL7*CM$4</f>
        <v>12.846</v>
      </c>
      <c r="CN7" s="31">
        <f>'Tabel Offset'!R8</f>
        <v>3.5165999999999999</v>
      </c>
      <c r="CO7" s="39">
        <f t="shared" ref="CO7:CO30" si="46">CN7*CO$4</f>
        <v>3.5165999999999999</v>
      </c>
      <c r="CP7" s="53">
        <f t="shared" ref="CP7:CP30" si="47">SUM(CK7,CM7,CO7)</f>
        <v>19.293199999999999</v>
      </c>
      <c r="CQ7" s="56">
        <f t="shared" ref="CQ7:CQ30" si="48">2*1/3*CP$2*CP7</f>
        <v>3.2155333333333331</v>
      </c>
      <c r="CR7" s="59">
        <f t="shared" ref="CR7:CR30" si="49">CQ7+CF7</f>
        <v>15.087199999999999</v>
      </c>
      <c r="CT7" s="44">
        <f>'Tabel Offset'!$A8</f>
        <v>0.5</v>
      </c>
      <c r="CU7" s="47">
        <f>IF(CT7="AP",0,IF(CT7="FP",'Tabel Offset'!$AA$4,CT7/20*'Tabel Offset'!$AA$4))</f>
        <v>2.3767499999999999</v>
      </c>
      <c r="CV7" s="31">
        <f>'Tabel Offset'!R8</f>
        <v>3.5165999999999999</v>
      </c>
      <c r="CW7" s="42">
        <f t="shared" ref="CW7:CW9" si="50">CV7*CW$4</f>
        <v>3.5165999999999999</v>
      </c>
      <c r="CX7" s="31">
        <f>'Tabel Offset'!S8</f>
        <v>3.9624999999999999</v>
      </c>
      <c r="CY7" s="42">
        <f t="shared" ref="CY7:CY9" si="51">CX7*CY$4</f>
        <v>15.85</v>
      </c>
      <c r="CZ7" s="31">
        <f>'Tabel Offset'!T8</f>
        <v>4.3792</v>
      </c>
      <c r="DA7" s="39">
        <f t="shared" ref="DA7:DA9" si="52">CZ7*DA$4</f>
        <v>4.3792</v>
      </c>
      <c r="DB7" s="53">
        <f t="shared" ref="DB7:DB9" si="53">SUM(CW7,CY7,DA7)</f>
        <v>23.745799999999999</v>
      </c>
      <c r="DC7" s="56">
        <f t="shared" ref="DC7:DC9" si="54">2*1/3*DB$2*DB7</f>
        <v>5.5406866666666676</v>
      </c>
      <c r="DD7" s="59">
        <f t="shared" ref="DD7:DD9" si="55">DC7+CR7</f>
        <v>20.627886666666669</v>
      </c>
      <c r="DF7" s="44">
        <f>'Tabel Offset'!$A8</f>
        <v>0.5</v>
      </c>
      <c r="DG7" s="47">
        <f>IF(DF7="AP",0,IF(DF7="FP",'Tabel Offset'!$AA$4,DF7/20*'Tabel Offset'!$AA$4))</f>
        <v>2.3767499999999999</v>
      </c>
      <c r="DH7" s="31">
        <f>'Tabel Offset'!T8</f>
        <v>4.3792</v>
      </c>
      <c r="DI7" s="42">
        <f t="shared" ref="DI7:DI9" si="56">DH7*DI$4</f>
        <v>4.3792</v>
      </c>
      <c r="DJ7" s="31">
        <f>'Tabel Offset'!U8</f>
        <v>4.7765000000000004</v>
      </c>
      <c r="DK7" s="42">
        <f t="shared" ref="DK7:DK9" si="57">DJ7*DK$4</f>
        <v>19.106000000000002</v>
      </c>
      <c r="DL7" s="31">
        <f>'Tabel Offset'!V8</f>
        <v>5.1791999999999998</v>
      </c>
      <c r="DM7" s="39">
        <f t="shared" ref="DM7:DM9" si="58">DL7*DM$4</f>
        <v>5.1791999999999998</v>
      </c>
      <c r="DN7" s="53">
        <f t="shared" ref="DN7:DN9" si="59">SUM(DI7,DK7,DM7)</f>
        <v>28.664400000000001</v>
      </c>
      <c r="DO7" s="56">
        <f t="shared" ref="DO7:DO9" si="60">2*1/3*DN$2*DN7</f>
        <v>6.6883600000000021</v>
      </c>
      <c r="DP7" s="59">
        <f t="shared" ref="DP7:DP9" si="61">DO7+DD7</f>
        <v>27.316246666666672</v>
      </c>
      <c r="DR7" s="44">
        <f>'Tabel Offset'!$A8</f>
        <v>0.5</v>
      </c>
      <c r="DS7" s="47">
        <f>IF(DR7="AP",0,IF(DR7="FP",'Tabel Offset'!$AA$4,DR7/20*'Tabel Offset'!$AA$4))</f>
        <v>2.3767499999999999</v>
      </c>
      <c r="DT7" s="31">
        <f>'Tabel Offset'!V8</f>
        <v>5.1791999999999998</v>
      </c>
      <c r="DU7" s="42">
        <f t="shared" ref="DU7:DU9" si="62">DT7*DU$4</f>
        <v>5.1791999999999998</v>
      </c>
      <c r="DV7" s="74">
        <v>5.7396000000000003</v>
      </c>
      <c r="DW7" s="42">
        <f t="shared" ref="DW7:DW9" si="63">DV7*DW$4</f>
        <v>22.958400000000001</v>
      </c>
      <c r="DX7" s="77">
        <f t="shared" ref="DX7:DX9" si="64">(EA7-DT$2)/2+DT$2</f>
        <v>8.3537499999999998</v>
      </c>
      <c r="DY7" s="74">
        <v>5.66</v>
      </c>
      <c r="DZ7" s="39">
        <f t="shared" ref="DZ7:DZ9" si="65">DY7*DZ$4</f>
        <v>5.66</v>
      </c>
      <c r="EA7" s="74">
        <v>8.8074999999999992</v>
      </c>
      <c r="EB7" s="53">
        <f t="shared" ref="EB7:EB9" si="66">SUM(DU7,DW7,DZ7)</f>
        <v>33.797600000000003</v>
      </c>
      <c r="EC7" s="56">
        <f t="shared" ref="EC7:EC9" si="67">2*1/3*((EA7-DT$2)/2)*EB7</f>
        <v>10.223773999999988</v>
      </c>
      <c r="ED7" s="59">
        <f t="shared" ref="ED7:ED30" si="68">EC7+DP7</f>
        <v>37.540020666666663</v>
      </c>
    </row>
    <row r="8" spans="1:134" ht="14.4" thickBot="1" x14ac:dyDescent="0.35">
      <c r="A8" s="23"/>
      <c r="B8" s="130">
        <f>'Tabel Offset'!$A9</f>
        <v>1</v>
      </c>
      <c r="C8" s="47">
        <f>IF(B8="AP",0,IF(B8="FP",'Tabel Offset'!$AA$4,B8/20*'Tabel Offset'!$AA$4))</f>
        <v>4.7534999999999998</v>
      </c>
      <c r="D8" s="50">
        <f>'Tabel Offset'!B9</f>
        <v>0</v>
      </c>
      <c r="E8" s="47">
        <f t="shared" si="2"/>
        <v>0</v>
      </c>
      <c r="F8" s="50">
        <f>'Tabel Offset'!C9</f>
        <v>0.26119999999999999</v>
      </c>
      <c r="G8" s="88">
        <f t="shared" si="3"/>
        <v>1.0448</v>
      </c>
      <c r="H8" s="29">
        <f>'Tabel Offset'!D9</f>
        <v>0.52129999999999999</v>
      </c>
      <c r="I8" s="39">
        <f t="shared" si="4"/>
        <v>0.52129999999999999</v>
      </c>
      <c r="J8" s="53">
        <f t="shared" si="5"/>
        <v>1.5661</v>
      </c>
      <c r="K8" s="56">
        <f t="shared" si="6"/>
        <v>0.26101666666666667</v>
      </c>
      <c r="L8" s="58">
        <f t="shared" si="7"/>
        <v>0.26101666666666667</v>
      </c>
      <c r="N8" s="32">
        <f>'Tabel Offset'!$A9</f>
        <v>1</v>
      </c>
      <c r="O8" s="47">
        <f>IF(N8="AP",0,IF(N8="FP",'Tabel Offset'!$AA$4,N8/20*'Tabel Offset'!$AA$4))</f>
        <v>4.7534999999999998</v>
      </c>
      <c r="P8" s="29">
        <f>'Tabel Offset'!D9</f>
        <v>0.52129999999999999</v>
      </c>
      <c r="Q8" s="42">
        <f t="shared" si="8"/>
        <v>0.52129999999999999</v>
      </c>
      <c r="R8" s="29">
        <f>'Tabel Offset'!E9</f>
        <v>0.72870000000000001</v>
      </c>
      <c r="S8" s="42">
        <f t="shared" si="9"/>
        <v>2.9148000000000001</v>
      </c>
      <c r="T8" s="29">
        <f>'Tabel Offset'!F9</f>
        <v>0.90800000000000003</v>
      </c>
      <c r="U8" s="39">
        <f t="shared" si="10"/>
        <v>0.90800000000000003</v>
      </c>
      <c r="V8" s="53">
        <f t="shared" si="11"/>
        <v>4.3441000000000001</v>
      </c>
      <c r="W8" s="56">
        <f t="shared" si="12"/>
        <v>0.72401666666666664</v>
      </c>
      <c r="X8" s="59">
        <f t="shared" si="13"/>
        <v>0.98503333333333332</v>
      </c>
      <c r="Z8" s="32">
        <f>'Tabel Offset'!$A9</f>
        <v>1</v>
      </c>
      <c r="AA8" s="47">
        <f>IF(Z8="AP",0,IF(Z8="FP",'Tabel Offset'!$AA$4,Z8/20*'Tabel Offset'!$AA$4))</f>
        <v>4.7534999999999998</v>
      </c>
      <c r="AB8" s="29">
        <f>'Tabel Offset'!F9</f>
        <v>0.90800000000000003</v>
      </c>
      <c r="AC8" s="42">
        <f t="shared" ref="AC8:AC9" si="69">AB8*AC$4</f>
        <v>0.90800000000000003</v>
      </c>
      <c r="AD8" s="29">
        <f>'Tabel Offset'!G9</f>
        <v>1.2141</v>
      </c>
      <c r="AE8" s="42">
        <f t="shared" ref="AE8:AE9" si="70">AD8*AE$4</f>
        <v>4.8563999999999998</v>
      </c>
      <c r="AF8" s="29">
        <f>'Tabel Offset'!H9</f>
        <v>1.4761</v>
      </c>
      <c r="AG8" s="39">
        <f t="shared" ref="AG8:AG9" si="71">AF8*AG$4</f>
        <v>1.4761</v>
      </c>
      <c r="AH8" s="53">
        <f t="shared" ref="AH8:AH9" si="72">SUM(AC8,AE8,AG8)</f>
        <v>7.2404999999999999</v>
      </c>
      <c r="AI8" s="56">
        <f t="shared" ref="AI8:AI9" si="73">2*1/3*AH$2*AH8</f>
        <v>2.4135</v>
      </c>
      <c r="AJ8" s="59">
        <f t="shared" ref="AJ8:AJ9" si="74">AI8+X8</f>
        <v>3.3985333333333334</v>
      </c>
      <c r="AL8" s="32">
        <f>'Tabel Offset'!$A9</f>
        <v>1</v>
      </c>
      <c r="AM8" s="47">
        <f>IF(AL8="AP",0,IF(AL8="FP",'Tabel Offset'!$AA$4,AL8/20*'Tabel Offset'!$AA$4))</f>
        <v>4.7534999999999998</v>
      </c>
      <c r="AN8" s="29">
        <f>'Tabel Offset'!H9</f>
        <v>1.4761</v>
      </c>
      <c r="AO8" s="42">
        <f t="shared" si="20"/>
        <v>1.4761</v>
      </c>
      <c r="AP8" s="90">
        <f>'Tabel Offset'!I9</f>
        <v>1.7166999999999999</v>
      </c>
      <c r="AQ8" s="42">
        <f t="shared" si="21"/>
        <v>6.8667999999999996</v>
      </c>
      <c r="AR8" s="29">
        <f>'Tabel Offset'!J8</f>
        <v>0.84160000000000001</v>
      </c>
      <c r="AS8" s="39">
        <f t="shared" si="22"/>
        <v>0.84160000000000001</v>
      </c>
      <c r="AT8" s="53">
        <f t="shared" si="23"/>
        <v>9.1844999999999999</v>
      </c>
      <c r="AU8" s="56">
        <f t="shared" si="24"/>
        <v>3.0614999999999997</v>
      </c>
      <c r="AV8" s="59">
        <f t="shared" si="25"/>
        <v>6.4600333333333335</v>
      </c>
      <c r="AX8" s="32">
        <f>'Tabel Offset'!$A9</f>
        <v>1</v>
      </c>
      <c r="AY8" s="47">
        <f>IF(AX8="AP",0,IF(AX8="FP",'Tabel Offset'!$AA$4,AX8/20*'Tabel Offset'!$AA$4))</f>
        <v>4.7534999999999998</v>
      </c>
      <c r="AZ8" s="29">
        <f>'Tabel Offset'!J9</f>
        <v>1.9562999999999999</v>
      </c>
      <c r="BA8" s="42">
        <f t="shared" si="26"/>
        <v>1.9562999999999999</v>
      </c>
      <c r="BB8" s="29">
        <f>'Tabel Offset'!K9</f>
        <v>2.2092999999999998</v>
      </c>
      <c r="BC8" s="42">
        <f t="shared" si="27"/>
        <v>8.8371999999999993</v>
      </c>
      <c r="BD8" s="29">
        <f>'Tabel Offset'!L9</f>
        <v>2.4784999999999999</v>
      </c>
      <c r="BE8" s="39">
        <f t="shared" si="28"/>
        <v>2.4784999999999999</v>
      </c>
      <c r="BF8" s="53">
        <f t="shared" si="29"/>
        <v>13.272</v>
      </c>
      <c r="BG8" s="56">
        <f t="shared" si="30"/>
        <v>4.4239999999999995</v>
      </c>
      <c r="BH8" s="59">
        <f t="shared" si="31"/>
        <v>10.884033333333333</v>
      </c>
      <c r="BJ8" s="44">
        <f>'Tabel Offset'!$A9</f>
        <v>1</v>
      </c>
      <c r="BK8" s="47">
        <f>IF(BJ8="AP",0,IF(BJ8="FP",'Tabel Offset'!$AA$4,BJ8/20*'Tabel Offset'!$AA$4))</f>
        <v>4.7534999999999998</v>
      </c>
      <c r="BL8" s="29">
        <f>'Tabel Offset'!L9</f>
        <v>2.4784999999999999</v>
      </c>
      <c r="BM8" s="42">
        <f t="shared" si="32"/>
        <v>2.4784999999999999</v>
      </c>
      <c r="BN8" s="29">
        <f>'Tabel Offset'!M9</f>
        <v>2.7705000000000002</v>
      </c>
      <c r="BO8" s="42">
        <f t="shared" si="33"/>
        <v>11.082000000000001</v>
      </c>
      <c r="BP8" s="29">
        <f>'Tabel Offset'!N9</f>
        <v>3.1349</v>
      </c>
      <c r="BQ8" s="39">
        <f t="shared" si="34"/>
        <v>3.1349</v>
      </c>
      <c r="BR8" s="53">
        <f t="shared" si="35"/>
        <v>16.695399999999999</v>
      </c>
      <c r="BS8" s="56">
        <f t="shared" si="36"/>
        <v>5.5651333333333328</v>
      </c>
      <c r="BT8" s="59">
        <f t="shared" si="37"/>
        <v>16.449166666666667</v>
      </c>
      <c r="BV8" s="44">
        <f>'Tabel Offset'!$A9</f>
        <v>1</v>
      </c>
      <c r="BW8" s="47">
        <f>IF(BV8="AP",0,IF(BV8="FP",'Tabel Offset'!$AA$4,BV8/20*'Tabel Offset'!$AA$4))</f>
        <v>4.7534999999999998</v>
      </c>
      <c r="BX8" s="29">
        <f>'Tabel Offset'!N9</f>
        <v>3.1349</v>
      </c>
      <c r="BY8" s="42">
        <f t="shared" si="38"/>
        <v>3.1349</v>
      </c>
      <c r="BZ8" s="29">
        <f>'Tabel Offset'!O9</f>
        <v>3.5859000000000001</v>
      </c>
      <c r="CA8" s="42">
        <f t="shared" si="39"/>
        <v>14.3436</v>
      </c>
      <c r="CB8" s="31">
        <f>'Tabel Offset'!P9</f>
        <v>4.0891000000000002</v>
      </c>
      <c r="CC8" s="39">
        <f t="shared" si="40"/>
        <v>4.0891000000000002</v>
      </c>
      <c r="CD8" s="53">
        <f t="shared" si="41"/>
        <v>21.567599999999999</v>
      </c>
      <c r="CE8" s="56">
        <f t="shared" si="42"/>
        <v>7.1891999999999996</v>
      </c>
      <c r="CF8" s="59">
        <f t="shared" si="43"/>
        <v>23.638366666666666</v>
      </c>
      <c r="CH8" s="44">
        <f>'Tabel Offset'!$A9</f>
        <v>1</v>
      </c>
      <c r="CI8" s="47">
        <f>IF(CH8="AP",0,IF(CH8="FP",'Tabel Offset'!$AA$4,CH8/20*'Tabel Offset'!$AA$4))</f>
        <v>4.7534999999999998</v>
      </c>
      <c r="CJ8" s="31">
        <f>'Tabel Offset'!P9</f>
        <v>4.0891000000000002</v>
      </c>
      <c r="CK8" s="42">
        <f t="shared" si="44"/>
        <v>4.0891000000000002</v>
      </c>
      <c r="CL8" s="31">
        <f>'Tabel Offset'!Q9</f>
        <v>4.3596000000000004</v>
      </c>
      <c r="CM8" s="42">
        <f t="shared" si="45"/>
        <v>17.438400000000001</v>
      </c>
      <c r="CN8" s="31">
        <f>'Tabel Offset'!R9</f>
        <v>4.6355000000000004</v>
      </c>
      <c r="CO8" s="39">
        <f t="shared" si="46"/>
        <v>4.6355000000000004</v>
      </c>
      <c r="CP8" s="53">
        <f t="shared" si="47"/>
        <v>26.163000000000004</v>
      </c>
      <c r="CQ8" s="56">
        <f t="shared" si="48"/>
        <v>4.3605</v>
      </c>
      <c r="CR8" s="59">
        <f t="shared" si="49"/>
        <v>27.998866666666665</v>
      </c>
      <c r="CT8" s="44">
        <f>'Tabel Offset'!$A9</f>
        <v>1</v>
      </c>
      <c r="CU8" s="47">
        <f>IF(CT8="AP",0,IF(CT8="FP",'Tabel Offset'!$AA$4,CT8/20*'Tabel Offset'!$AA$4))</f>
        <v>4.7534999999999998</v>
      </c>
      <c r="CV8" s="31">
        <f>'Tabel Offset'!R9</f>
        <v>4.6355000000000004</v>
      </c>
      <c r="CW8" s="42">
        <f t="shared" si="50"/>
        <v>4.6355000000000004</v>
      </c>
      <c r="CX8" s="31">
        <f>'Tabel Offset'!S9</f>
        <v>5.0395000000000003</v>
      </c>
      <c r="CY8" s="42">
        <f t="shared" si="51"/>
        <v>20.158000000000001</v>
      </c>
      <c r="CZ8" s="31">
        <f>'Tabel Offset'!T9</f>
        <v>5.4706000000000001</v>
      </c>
      <c r="DA8" s="39">
        <f t="shared" si="52"/>
        <v>5.4706000000000001</v>
      </c>
      <c r="DB8" s="53">
        <f t="shared" si="53"/>
        <v>30.264100000000003</v>
      </c>
      <c r="DC8" s="56">
        <f t="shared" si="54"/>
        <v>7.061623333333336</v>
      </c>
      <c r="DD8" s="59">
        <f t="shared" si="55"/>
        <v>35.060490000000001</v>
      </c>
      <c r="DF8" s="44">
        <f>'Tabel Offset'!$A9</f>
        <v>1</v>
      </c>
      <c r="DG8" s="47">
        <f>IF(DF8="AP",0,IF(DF8="FP",'Tabel Offset'!$AA$4,DF8/20*'Tabel Offset'!$AA$4))</f>
        <v>4.7534999999999998</v>
      </c>
      <c r="DH8" s="31">
        <f>'Tabel Offset'!T9</f>
        <v>5.4706000000000001</v>
      </c>
      <c r="DI8" s="42">
        <f t="shared" si="56"/>
        <v>5.4706000000000001</v>
      </c>
      <c r="DJ8" s="31">
        <f>'Tabel Offset'!U9</f>
        <v>5.8747999999999996</v>
      </c>
      <c r="DK8" s="42">
        <f t="shared" si="57"/>
        <v>23.499199999999998</v>
      </c>
      <c r="DL8" s="31">
        <f>'Tabel Offset'!V9</f>
        <v>6.2069999999999999</v>
      </c>
      <c r="DM8" s="39">
        <f t="shared" si="58"/>
        <v>6.2069999999999999</v>
      </c>
      <c r="DN8" s="53">
        <f t="shared" si="59"/>
        <v>35.1768</v>
      </c>
      <c r="DO8" s="56">
        <f t="shared" si="60"/>
        <v>8.2079200000000014</v>
      </c>
      <c r="DP8" s="59">
        <f t="shared" si="61"/>
        <v>43.268410000000003</v>
      </c>
      <c r="DR8" s="44">
        <f>'Tabel Offset'!$A9</f>
        <v>1</v>
      </c>
      <c r="DS8" s="47">
        <f>IF(DR8="AP",0,IF(DR8="FP",'Tabel Offset'!$AA$4,DR8/20*'Tabel Offset'!$AA$4))</f>
        <v>4.7534999999999998</v>
      </c>
      <c r="DT8" s="31">
        <f>'Tabel Offset'!V9</f>
        <v>6.2069999999999999</v>
      </c>
      <c r="DU8" s="42">
        <f t="shared" si="62"/>
        <v>6.2069999999999999</v>
      </c>
      <c r="DV8" s="74">
        <v>6.5423999999999998</v>
      </c>
      <c r="DW8" s="42">
        <f t="shared" si="63"/>
        <v>26.169599999999999</v>
      </c>
      <c r="DX8" s="77">
        <f t="shared" si="64"/>
        <v>8.3104499999999994</v>
      </c>
      <c r="DY8" s="74">
        <v>5.64</v>
      </c>
      <c r="DZ8" s="39">
        <f t="shared" si="65"/>
        <v>5.64</v>
      </c>
      <c r="EA8" s="74">
        <v>8.7209000000000003</v>
      </c>
      <c r="EB8" s="53">
        <f t="shared" si="66"/>
        <v>38.016599999999997</v>
      </c>
      <c r="EC8" s="56">
        <f t="shared" si="67"/>
        <v>10.402608979999997</v>
      </c>
      <c r="ED8" s="59">
        <f t="shared" si="68"/>
        <v>53.671018979999999</v>
      </c>
    </row>
    <row r="9" spans="1:134" ht="14.4" thickBot="1" x14ac:dyDescent="0.35">
      <c r="A9" s="23"/>
      <c r="B9" s="130">
        <f>'Tabel Offset'!$A10</f>
        <v>1.5</v>
      </c>
      <c r="C9" s="47">
        <f>IF(B9="AP",0,IF(B9="FP",'Tabel Offset'!$AA$4,B9/20*'Tabel Offset'!$AA$4))</f>
        <v>7.1302499999999993</v>
      </c>
      <c r="D9" s="50">
        <f>'Tabel Offset'!B10</f>
        <v>1.7999999999999999E-2</v>
      </c>
      <c r="E9" s="47">
        <f t="shared" ref="E9" si="75">D9*E$4</f>
        <v>1.7999999999999999E-2</v>
      </c>
      <c r="F9" s="50">
        <f>'Tabel Offset'!C10</f>
        <v>0.68389999999999995</v>
      </c>
      <c r="G9" s="88">
        <f t="shared" ref="G9" si="76">F9*G$4</f>
        <v>2.7355999999999998</v>
      </c>
      <c r="H9" s="29">
        <f>'Tabel Offset'!D10</f>
        <v>1.0290999999999999</v>
      </c>
      <c r="I9" s="39">
        <f t="shared" ref="I9" si="77">H9*I$4</f>
        <v>1.0290999999999999</v>
      </c>
      <c r="J9" s="53">
        <f t="shared" ref="J9" si="78">SUM(E9,G9,I9)</f>
        <v>3.7826999999999993</v>
      </c>
      <c r="K9" s="56">
        <f t="shared" ref="K9" si="79">2*1/3*J$2*J9</f>
        <v>0.63044999999999984</v>
      </c>
      <c r="L9" s="58">
        <f t="shared" ref="L9" si="80">K9</f>
        <v>0.63044999999999984</v>
      </c>
      <c r="N9" s="32">
        <f>'Tabel Offset'!$A10</f>
        <v>1.5</v>
      </c>
      <c r="O9" s="47">
        <f>IF(N9="AP",0,IF(N9="FP",'Tabel Offset'!$AA$4,N9/20*'Tabel Offset'!$AA$4))</f>
        <v>7.1302499999999993</v>
      </c>
      <c r="P9" s="29">
        <f>'Tabel Offset'!D10</f>
        <v>1.0290999999999999</v>
      </c>
      <c r="Q9" s="42">
        <f t="shared" si="8"/>
        <v>1.0290999999999999</v>
      </c>
      <c r="R9" s="29">
        <f>'Tabel Offset'!E10</f>
        <v>1.2899</v>
      </c>
      <c r="S9" s="42">
        <f t="shared" si="9"/>
        <v>5.1596000000000002</v>
      </c>
      <c r="T9" s="29">
        <f>'Tabel Offset'!F10</f>
        <v>1.5044</v>
      </c>
      <c r="U9" s="39">
        <f t="shared" si="10"/>
        <v>1.5044</v>
      </c>
      <c r="V9" s="53">
        <f t="shared" si="11"/>
        <v>7.6930999999999994</v>
      </c>
      <c r="W9" s="56">
        <f t="shared" si="12"/>
        <v>1.2821833333333332</v>
      </c>
      <c r="X9" s="59">
        <f t="shared" si="13"/>
        <v>1.912633333333333</v>
      </c>
      <c r="Z9" s="32">
        <f>'Tabel Offset'!$A10</f>
        <v>1.5</v>
      </c>
      <c r="AA9" s="47">
        <f>IF(Z9="AP",0,IF(Z9="FP",'Tabel Offset'!$AA$4,Z9/20*'Tabel Offset'!$AA$4))</f>
        <v>7.1302499999999993</v>
      </c>
      <c r="AB9" s="29">
        <f>'Tabel Offset'!F10</f>
        <v>1.5044</v>
      </c>
      <c r="AC9" s="42">
        <f t="shared" si="69"/>
        <v>1.5044</v>
      </c>
      <c r="AD9" s="29">
        <f>'Tabel Offset'!G10</f>
        <v>1.859</v>
      </c>
      <c r="AE9" s="42">
        <f t="shared" si="70"/>
        <v>7.4359999999999999</v>
      </c>
      <c r="AF9" s="29">
        <f>'Tabel Offset'!H10</f>
        <v>2.1913</v>
      </c>
      <c r="AG9" s="39">
        <f t="shared" si="71"/>
        <v>2.1913</v>
      </c>
      <c r="AH9" s="53">
        <f t="shared" si="72"/>
        <v>11.1317</v>
      </c>
      <c r="AI9" s="56">
        <f t="shared" si="73"/>
        <v>3.7105666666666668</v>
      </c>
      <c r="AJ9" s="59">
        <f t="shared" si="74"/>
        <v>5.6231999999999998</v>
      </c>
      <c r="AL9" s="32">
        <f>'Tabel Offset'!$A10</f>
        <v>1.5</v>
      </c>
      <c r="AM9" s="47">
        <f>IF(AL9="AP",0,IF(AL9="FP",'Tabel Offset'!$AA$4,AL9/20*'Tabel Offset'!$AA$4))</f>
        <v>7.1302499999999993</v>
      </c>
      <c r="AN9" s="29">
        <f>'Tabel Offset'!H10</f>
        <v>2.1913</v>
      </c>
      <c r="AO9" s="42">
        <f t="shared" ref="AO9" si="81">AN9*AO$4</f>
        <v>2.1913</v>
      </c>
      <c r="AP9" s="90">
        <f>'Tabel Offset'!I10</f>
        <v>2.5158999999999998</v>
      </c>
      <c r="AQ9" s="42">
        <f t="shared" ref="AQ9" si="82">AP9*AQ$4</f>
        <v>10.063599999999999</v>
      </c>
      <c r="AR9" s="29">
        <f>'Tabel Offset'!J9</f>
        <v>1.9562999999999999</v>
      </c>
      <c r="AS9" s="39">
        <f t="shared" ref="AS9" si="83">AR9*AS$4</f>
        <v>1.9562999999999999</v>
      </c>
      <c r="AT9" s="53">
        <f t="shared" ref="AT9" si="84">SUM(AO9,AQ9,AS9)</f>
        <v>14.2112</v>
      </c>
      <c r="AU9" s="56">
        <f t="shared" ref="AU9" si="85">2*1/3*AT$2*AT9</f>
        <v>4.7370666666666663</v>
      </c>
      <c r="AV9" s="59">
        <f t="shared" ref="AV9" si="86">AU9+AJ9</f>
        <v>10.360266666666666</v>
      </c>
      <c r="AX9" s="32">
        <f>'Tabel Offset'!$A10</f>
        <v>1.5</v>
      </c>
      <c r="AY9" s="47">
        <f>IF(AX9="AP",0,IF(AX9="FP",'Tabel Offset'!$AA$4,AX9/20*'Tabel Offset'!$AA$4))</f>
        <v>7.1302499999999993</v>
      </c>
      <c r="AZ9" s="29">
        <f>'Tabel Offset'!J10</f>
        <v>2.8159000000000001</v>
      </c>
      <c r="BA9" s="42">
        <f t="shared" ref="BA9" si="87">AZ9*BA$4</f>
        <v>2.8159000000000001</v>
      </c>
      <c r="BB9" s="29">
        <f>'Tabel Offset'!K10</f>
        <v>3.1036000000000001</v>
      </c>
      <c r="BC9" s="42">
        <f t="shared" ref="BC9" si="88">BB9*BC$4</f>
        <v>12.414400000000001</v>
      </c>
      <c r="BD9" s="29">
        <f>'Tabel Offset'!L10</f>
        <v>3.4388000000000001</v>
      </c>
      <c r="BE9" s="39">
        <f t="shared" ref="BE9" si="89">BD9*BE$4</f>
        <v>3.4388000000000001</v>
      </c>
      <c r="BF9" s="53">
        <f t="shared" ref="BF9" si="90">SUM(BA9,BC9,BE9)</f>
        <v>18.6691</v>
      </c>
      <c r="BG9" s="56">
        <f t="shared" ref="BG9" si="91">2*1/3*BF$2*BF9</f>
        <v>6.2230333333333334</v>
      </c>
      <c r="BH9" s="59">
        <f t="shared" ref="BH9" si="92">BG9+AV9</f>
        <v>16.583300000000001</v>
      </c>
      <c r="BJ9" s="44">
        <f>'Tabel Offset'!$A10</f>
        <v>1.5</v>
      </c>
      <c r="BK9" s="47">
        <f>IF(BJ9="AP",0,IF(BJ9="FP",'Tabel Offset'!$AA$4,BJ9/20*'Tabel Offset'!$AA$4))</f>
        <v>7.1302499999999993</v>
      </c>
      <c r="BL9" s="29">
        <f>'Tabel Offset'!L10</f>
        <v>3.4388000000000001</v>
      </c>
      <c r="BM9" s="42">
        <f t="shared" ref="BM9" si="93">BL9*BM$4</f>
        <v>3.4388000000000001</v>
      </c>
      <c r="BN9" s="29">
        <f>'Tabel Offset'!M10</f>
        <v>3.8022999999999998</v>
      </c>
      <c r="BO9" s="42">
        <f t="shared" ref="BO9" si="94">BN9*BO$4</f>
        <v>15.209199999999999</v>
      </c>
      <c r="BP9" s="29">
        <f>'Tabel Offset'!N10</f>
        <v>4.2317</v>
      </c>
      <c r="BQ9" s="39">
        <f t="shared" ref="BQ9" si="95">BP9*BQ$4</f>
        <v>4.2317</v>
      </c>
      <c r="BR9" s="53">
        <f t="shared" ref="BR9" si="96">SUM(BM9,BO9,BQ9)</f>
        <v>22.8797</v>
      </c>
      <c r="BS9" s="56">
        <f t="shared" ref="BS9" si="97">2*1/3*BR$2*BR9</f>
        <v>7.6265666666666663</v>
      </c>
      <c r="BT9" s="59">
        <f t="shared" ref="BT9" si="98">BS9+BH9</f>
        <v>24.209866666666667</v>
      </c>
      <c r="BV9" s="44">
        <f>'Tabel Offset'!$A10</f>
        <v>1.5</v>
      </c>
      <c r="BW9" s="47">
        <f>IF(BV9="AP",0,IF(BV9="FP",'Tabel Offset'!$AA$4,BV9/20*'Tabel Offset'!$AA$4))</f>
        <v>7.1302499999999993</v>
      </c>
      <c r="BX9" s="29">
        <f>'Tabel Offset'!N10</f>
        <v>4.2317</v>
      </c>
      <c r="BY9" s="42">
        <f t="shared" ref="BY9" si="99">BX9*BY$4</f>
        <v>4.2317</v>
      </c>
      <c r="BZ9" s="29">
        <f>'Tabel Offset'!O10</f>
        <v>4.7249999999999996</v>
      </c>
      <c r="CA9" s="42">
        <f t="shared" ref="CA9" si="100">BZ9*CA$4</f>
        <v>18.899999999999999</v>
      </c>
      <c r="CB9" s="31">
        <f>'Tabel Offset'!P10</f>
        <v>5.2424999999999997</v>
      </c>
      <c r="CC9" s="39">
        <f t="shared" ref="CC9" si="101">CB9*CC$4</f>
        <v>5.2424999999999997</v>
      </c>
      <c r="CD9" s="53">
        <f t="shared" ref="CD9" si="102">SUM(BY9,CA9,CC9)</f>
        <v>28.374199999999998</v>
      </c>
      <c r="CE9" s="56">
        <f t="shared" ref="CE9" si="103">2*1/3*CD$2*CD9</f>
        <v>9.4580666666666655</v>
      </c>
      <c r="CF9" s="59">
        <f t="shared" ref="CF9" si="104">CE9+BT9</f>
        <v>33.66793333333333</v>
      </c>
      <c r="CH9" s="44">
        <f>'Tabel Offset'!$A10</f>
        <v>1.5</v>
      </c>
      <c r="CI9" s="47">
        <f>IF(CH9="AP",0,IF(CH9="FP",'Tabel Offset'!$AA$4,CH9/20*'Tabel Offset'!$AA$4))</f>
        <v>7.1302499999999993</v>
      </c>
      <c r="CJ9" s="31">
        <f>'Tabel Offset'!P10</f>
        <v>5.2424999999999997</v>
      </c>
      <c r="CK9" s="42">
        <f t="shared" ref="CK9" si="105">CJ9*CK$4</f>
        <v>5.2424999999999997</v>
      </c>
      <c r="CL9" s="31">
        <f>'Tabel Offset'!Q10</f>
        <v>5.5101000000000004</v>
      </c>
      <c r="CM9" s="42">
        <f t="shared" ref="CM9" si="106">CL9*CM$4</f>
        <v>22.040400000000002</v>
      </c>
      <c r="CN9" s="31">
        <f>'Tabel Offset'!R10</f>
        <v>5.7880000000000003</v>
      </c>
      <c r="CO9" s="39">
        <f t="shared" ref="CO9" si="107">CN9*CO$4</f>
        <v>5.7880000000000003</v>
      </c>
      <c r="CP9" s="53">
        <f t="shared" ref="CP9" si="108">SUM(CK9,CM9,CO9)</f>
        <v>33.070900000000002</v>
      </c>
      <c r="CQ9" s="56">
        <f t="shared" ref="CQ9" si="109">2*1/3*CP$2*CP9</f>
        <v>5.5118166666666664</v>
      </c>
      <c r="CR9" s="59">
        <f t="shared" ref="CR9" si="110">CQ9+CF9</f>
        <v>39.179749999999999</v>
      </c>
      <c r="CT9" s="44">
        <f>'Tabel Offset'!$A10</f>
        <v>1.5</v>
      </c>
      <c r="CU9" s="47">
        <f>IF(CT9="AP",0,IF(CT9="FP",'Tabel Offset'!$AA$4,CT9/20*'Tabel Offset'!$AA$4))</f>
        <v>7.1302499999999993</v>
      </c>
      <c r="CV9" s="31">
        <f>'Tabel Offset'!R10</f>
        <v>5.7880000000000003</v>
      </c>
      <c r="CW9" s="42">
        <f t="shared" si="50"/>
        <v>5.7880000000000003</v>
      </c>
      <c r="CX9" s="31">
        <f>'Tabel Offset'!S10</f>
        <v>8.141</v>
      </c>
      <c r="CY9" s="42">
        <f t="shared" si="51"/>
        <v>32.564</v>
      </c>
      <c r="CZ9" s="31">
        <f>'Tabel Offset'!T10</f>
        <v>6.4225000000000003</v>
      </c>
      <c r="DA9" s="39">
        <f t="shared" si="52"/>
        <v>6.4225000000000003</v>
      </c>
      <c r="DB9" s="53">
        <f t="shared" si="53"/>
        <v>44.774500000000003</v>
      </c>
      <c r="DC9" s="56">
        <f t="shared" si="54"/>
        <v>10.447383333333336</v>
      </c>
      <c r="DD9" s="59">
        <f t="shared" si="55"/>
        <v>49.627133333333333</v>
      </c>
      <c r="DF9" s="44">
        <f>'Tabel Offset'!$A10</f>
        <v>1.5</v>
      </c>
      <c r="DG9" s="47">
        <f>IF(DF9="AP",0,IF(DF9="FP",'Tabel Offset'!$AA$4,DF9/20*'Tabel Offset'!$AA$4))</f>
        <v>7.1302499999999993</v>
      </c>
      <c r="DH9" s="31">
        <f>'Tabel Offset'!T10</f>
        <v>6.4225000000000003</v>
      </c>
      <c r="DI9" s="42">
        <f t="shared" si="56"/>
        <v>6.4225000000000003</v>
      </c>
      <c r="DJ9" s="31">
        <f>'Tabel Offset'!U10</f>
        <v>6.6539999999999999</v>
      </c>
      <c r="DK9" s="42">
        <f t="shared" si="57"/>
        <v>26.616</v>
      </c>
      <c r="DL9" s="31">
        <f>'Tabel Offset'!V10</f>
        <v>6.8489000000000004</v>
      </c>
      <c r="DM9" s="39">
        <f t="shared" si="58"/>
        <v>6.8489000000000004</v>
      </c>
      <c r="DN9" s="53">
        <f t="shared" si="59"/>
        <v>39.8874</v>
      </c>
      <c r="DO9" s="56">
        <f t="shared" si="60"/>
        <v>9.3070600000000017</v>
      </c>
      <c r="DP9" s="59">
        <f t="shared" si="61"/>
        <v>58.934193333333333</v>
      </c>
      <c r="DR9" s="44">
        <f>'Tabel Offset'!$A10</f>
        <v>1.5</v>
      </c>
      <c r="DS9" s="47">
        <f>IF(DR9="AP",0,IF(DR9="FP",'Tabel Offset'!$AA$4,DR9/20*'Tabel Offset'!$AA$4))</f>
        <v>7.1302499999999993</v>
      </c>
      <c r="DT9" s="31">
        <f>'Tabel Offset'!V10</f>
        <v>6.8489000000000004</v>
      </c>
      <c r="DU9" s="42">
        <f t="shared" si="62"/>
        <v>6.8489000000000004</v>
      </c>
      <c r="DV9" s="74">
        <v>7.0374999999999996</v>
      </c>
      <c r="DW9" s="42">
        <f t="shared" si="63"/>
        <v>28.15</v>
      </c>
      <c r="DX9" s="77">
        <f t="shared" si="64"/>
        <v>8.2669500000000014</v>
      </c>
      <c r="DY9" s="74">
        <v>6.0149999999999997</v>
      </c>
      <c r="DZ9" s="39">
        <f t="shared" si="65"/>
        <v>6.0149999999999997</v>
      </c>
      <c r="EA9" s="74">
        <v>8.6339000000000006</v>
      </c>
      <c r="EB9" s="53">
        <f t="shared" si="66"/>
        <v>41.0139</v>
      </c>
      <c r="EC9" s="56">
        <f t="shared" si="67"/>
        <v>10.033367070000002</v>
      </c>
      <c r="ED9" s="59">
        <f t="shared" si="68"/>
        <v>68.967560403333337</v>
      </c>
    </row>
    <row r="10" spans="1:134" ht="14.4" thickBot="1" x14ac:dyDescent="0.35">
      <c r="A10" s="24"/>
      <c r="B10" s="130">
        <f>'Tabel Offset'!$A11</f>
        <v>2</v>
      </c>
      <c r="C10" s="47">
        <f>IF(B10="AP",0,IF(B10="FP",'Tabel Offset'!$AA$4,B10/20*'Tabel Offset'!$AA$4))</f>
        <v>9.5069999999999997</v>
      </c>
      <c r="D10" s="50">
        <f>'Tabel Offset'!B11</f>
        <v>7.5999999999999998E-2</v>
      </c>
      <c r="E10" s="47">
        <f t="shared" si="2"/>
        <v>7.5999999999999998E-2</v>
      </c>
      <c r="F10" s="50">
        <f>'Tabel Offset'!C11</f>
        <v>1.0671999999999999</v>
      </c>
      <c r="G10" s="88">
        <f t="shared" si="3"/>
        <v>4.2687999999999997</v>
      </c>
      <c r="H10" s="29">
        <f>'Tabel Offset'!D11</f>
        <v>1.5209999999999999</v>
      </c>
      <c r="I10" s="39">
        <f t="shared" si="4"/>
        <v>1.5209999999999999</v>
      </c>
      <c r="J10" s="53">
        <f t="shared" si="5"/>
        <v>5.8657999999999992</v>
      </c>
      <c r="K10" s="56">
        <f t="shared" si="6"/>
        <v>0.97763333333333313</v>
      </c>
      <c r="L10" s="58">
        <f t="shared" si="7"/>
        <v>0.97763333333333313</v>
      </c>
      <c r="N10" s="32">
        <f>'Tabel Offset'!$A11</f>
        <v>2</v>
      </c>
      <c r="O10" s="47">
        <f>IF(N10="AP",0,IF(N10="FP",'Tabel Offset'!$AA$4,N10/20*'Tabel Offset'!$AA$4))</f>
        <v>9.5069999999999997</v>
      </c>
      <c r="P10" s="29">
        <f>'Tabel Offset'!D11</f>
        <v>1.5209999999999999</v>
      </c>
      <c r="Q10" s="42">
        <f t="shared" ref="Q10:Q30" si="111">P10*Q$4</f>
        <v>1.5209999999999999</v>
      </c>
      <c r="R10" s="29">
        <f>'Tabel Offset'!E11</f>
        <v>1.8552999999999999</v>
      </c>
      <c r="S10" s="42">
        <f t="shared" ref="S10:S30" si="112">R10*S$4</f>
        <v>7.4211999999999998</v>
      </c>
      <c r="T10" s="29">
        <f>'Tabel Offset'!F11</f>
        <v>2.1234999999999999</v>
      </c>
      <c r="U10" s="39">
        <f t="shared" ref="U10:U30" si="113">T10*U$4</f>
        <v>2.1234999999999999</v>
      </c>
      <c r="V10" s="53">
        <f t="shared" ref="V10:V30" si="114">SUM(Q10,S10,U10)</f>
        <v>11.0657</v>
      </c>
      <c r="W10" s="56">
        <f t="shared" ref="W10:W30" si="115">2*1/3*V$2*V10</f>
        <v>1.8442833333333333</v>
      </c>
      <c r="X10" s="59">
        <f t="shared" ref="X10:X30" si="116">W10+L10</f>
        <v>2.8219166666666666</v>
      </c>
      <c r="Z10" s="32">
        <f>'Tabel Offset'!$A11</f>
        <v>2</v>
      </c>
      <c r="AA10" s="47">
        <f>IF(Z10="AP",0,IF(Z10="FP",'Tabel Offset'!$AA$4,Z10/20*'Tabel Offset'!$AA$4))</f>
        <v>9.5069999999999997</v>
      </c>
      <c r="AB10" s="29">
        <f>'Tabel Offset'!F11</f>
        <v>2.1234999999999999</v>
      </c>
      <c r="AC10" s="42">
        <f t="shared" si="14"/>
        <v>2.1234999999999999</v>
      </c>
      <c r="AD10" s="29">
        <f>'Tabel Offset'!G11</f>
        <v>2.609</v>
      </c>
      <c r="AE10" s="42">
        <f t="shared" si="15"/>
        <v>10.436</v>
      </c>
      <c r="AF10" s="29">
        <f>'Tabel Offset'!H11</f>
        <v>3.0712999999999999</v>
      </c>
      <c r="AG10" s="39">
        <f t="shared" si="16"/>
        <v>3.0712999999999999</v>
      </c>
      <c r="AH10" s="53">
        <f t="shared" si="17"/>
        <v>15.630800000000001</v>
      </c>
      <c r="AI10" s="56">
        <f t="shared" si="18"/>
        <v>5.2102666666666666</v>
      </c>
      <c r="AJ10" s="59">
        <f t="shared" si="19"/>
        <v>8.0321833333333323</v>
      </c>
      <c r="AL10" s="32">
        <f>'Tabel Offset'!$A11</f>
        <v>2</v>
      </c>
      <c r="AM10" s="47">
        <f>IF(AL10="AP",0,IF(AL10="FP",'Tabel Offset'!$AA$4,AL10/20*'Tabel Offset'!$AA$4))</f>
        <v>9.5069999999999997</v>
      </c>
      <c r="AN10" s="29">
        <f>'Tabel Offset'!H11</f>
        <v>3.0712999999999999</v>
      </c>
      <c r="AO10" s="42">
        <f t="shared" si="20"/>
        <v>3.0712999999999999</v>
      </c>
      <c r="AP10" s="90">
        <f>'Tabel Offset'!I11</f>
        <v>3.4531000000000001</v>
      </c>
      <c r="AQ10" s="42">
        <f t="shared" si="21"/>
        <v>13.8124</v>
      </c>
      <c r="AR10" s="29">
        <f>'Tabel Offset'!J10</f>
        <v>2.8159000000000001</v>
      </c>
      <c r="AS10" s="39">
        <f t="shared" si="22"/>
        <v>2.8159000000000001</v>
      </c>
      <c r="AT10" s="53">
        <f t="shared" si="23"/>
        <v>19.6996</v>
      </c>
      <c r="AU10" s="56">
        <f t="shared" si="24"/>
        <v>6.5665333333333331</v>
      </c>
      <c r="AV10" s="59">
        <f t="shared" si="25"/>
        <v>14.598716666666665</v>
      </c>
      <c r="AX10" s="44">
        <f>'Tabel Offset'!$A11</f>
        <v>2</v>
      </c>
      <c r="AY10" s="47">
        <f>IF(AX10="AP",0,IF(AX10="FP",'Tabel Offset'!$AA$4,AX10/20*'Tabel Offset'!$AA$4))</f>
        <v>9.5069999999999997</v>
      </c>
      <c r="AZ10" s="29">
        <f>'Tabel Offset'!J11</f>
        <v>3.7938999999999998</v>
      </c>
      <c r="BA10" s="42">
        <f t="shared" si="26"/>
        <v>3.7938999999999998</v>
      </c>
      <c r="BB10" s="29">
        <f>'Tabel Offset'!K11</f>
        <v>4.1319999999999997</v>
      </c>
      <c r="BC10" s="42">
        <f t="shared" si="27"/>
        <v>16.527999999999999</v>
      </c>
      <c r="BD10" s="29">
        <f>'Tabel Offset'!L11</f>
        <v>4.4603999999999999</v>
      </c>
      <c r="BE10" s="39">
        <f t="shared" si="28"/>
        <v>4.4603999999999999</v>
      </c>
      <c r="BF10" s="53">
        <f t="shared" si="29"/>
        <v>24.782299999999999</v>
      </c>
      <c r="BG10" s="56">
        <f t="shared" si="30"/>
        <v>8.2607666666666653</v>
      </c>
      <c r="BH10" s="59">
        <f t="shared" si="31"/>
        <v>22.85948333333333</v>
      </c>
      <c r="BJ10" s="44">
        <f>'Tabel Offset'!$A11</f>
        <v>2</v>
      </c>
      <c r="BK10" s="47">
        <f>IF(BJ10="AP",0,IF(BJ10="FP",'Tabel Offset'!$AA$4,BJ10/20*'Tabel Offset'!$AA$4))</f>
        <v>9.5069999999999997</v>
      </c>
      <c r="BL10" s="29">
        <f>'Tabel Offset'!L11</f>
        <v>4.4603999999999999</v>
      </c>
      <c r="BM10" s="42">
        <f t="shared" si="32"/>
        <v>4.4603999999999999</v>
      </c>
      <c r="BN10" s="29">
        <f>'Tabel Offset'!M11</f>
        <v>4.8563999999999998</v>
      </c>
      <c r="BO10" s="42">
        <f t="shared" si="33"/>
        <v>19.425599999999999</v>
      </c>
      <c r="BP10" s="29">
        <f>'Tabel Offset'!N11</f>
        <v>5.2957999999999998</v>
      </c>
      <c r="BQ10" s="39">
        <f t="shared" si="34"/>
        <v>5.2957999999999998</v>
      </c>
      <c r="BR10" s="53">
        <f t="shared" si="35"/>
        <v>29.181799999999999</v>
      </c>
      <c r="BS10" s="56">
        <f t="shared" si="36"/>
        <v>9.7272666666666652</v>
      </c>
      <c r="BT10" s="59">
        <f t="shared" si="37"/>
        <v>32.586749999999995</v>
      </c>
      <c r="BV10" s="44">
        <f>'Tabel Offset'!$A11</f>
        <v>2</v>
      </c>
      <c r="BW10" s="47">
        <f>IF(BV10="AP",0,IF(BV10="FP",'Tabel Offset'!$AA$4,BV10/20*'Tabel Offset'!$AA$4))</f>
        <v>9.5069999999999997</v>
      </c>
      <c r="BX10" s="29">
        <f>'Tabel Offset'!N11</f>
        <v>5.2957999999999998</v>
      </c>
      <c r="BY10" s="42">
        <f t="shared" si="38"/>
        <v>5.2957999999999998</v>
      </c>
      <c r="BZ10" s="29">
        <f>'Tabel Offset'!O11</f>
        <v>5.75</v>
      </c>
      <c r="CA10" s="42">
        <f t="shared" si="39"/>
        <v>23</v>
      </c>
      <c r="CB10" s="31">
        <f>'Tabel Offset'!P11</f>
        <v>6.2244999999999999</v>
      </c>
      <c r="CC10" s="39">
        <f t="shared" si="40"/>
        <v>6.2244999999999999</v>
      </c>
      <c r="CD10" s="53">
        <f t="shared" si="41"/>
        <v>34.520299999999999</v>
      </c>
      <c r="CE10" s="56">
        <f t="shared" si="42"/>
        <v>11.506766666666666</v>
      </c>
      <c r="CF10" s="59">
        <f t="shared" si="43"/>
        <v>44.093516666666659</v>
      </c>
      <c r="CH10" s="44">
        <f>'Tabel Offset'!$A11</f>
        <v>2</v>
      </c>
      <c r="CI10" s="47">
        <f>IF(CH10="AP",0,IF(CH10="FP",'Tabel Offset'!$AA$4,CH10/20*'Tabel Offset'!$AA$4))</f>
        <v>9.5069999999999997</v>
      </c>
      <c r="CJ10" s="31">
        <f>'Tabel Offset'!P11</f>
        <v>6.2244999999999999</v>
      </c>
      <c r="CK10" s="42">
        <f t="shared" si="44"/>
        <v>6.2244999999999999</v>
      </c>
      <c r="CL10" s="31">
        <f>'Tabel Offset'!Q11</f>
        <v>6.444</v>
      </c>
      <c r="CM10" s="42">
        <f t="shared" si="45"/>
        <v>25.776</v>
      </c>
      <c r="CN10" s="31">
        <f>'Tabel Offset'!R11</f>
        <v>6.6256000000000004</v>
      </c>
      <c r="CO10" s="39">
        <f t="shared" si="46"/>
        <v>6.6256000000000004</v>
      </c>
      <c r="CP10" s="53">
        <f t="shared" si="47"/>
        <v>38.626100000000001</v>
      </c>
      <c r="CQ10" s="56">
        <f t="shared" si="48"/>
        <v>6.4376833333333332</v>
      </c>
      <c r="CR10" s="59">
        <f t="shared" si="49"/>
        <v>50.531199999999991</v>
      </c>
      <c r="CT10" s="44">
        <f>'Tabel Offset'!$A11</f>
        <v>2</v>
      </c>
      <c r="CU10" s="47">
        <f>IF(CT10="AP",0,IF(CT10="FP",'Tabel Offset'!$AA$4,CT10/20*'Tabel Offset'!$AA$4))</f>
        <v>9.5069999999999997</v>
      </c>
      <c r="CV10" s="31">
        <f>'Tabel Offset'!R11</f>
        <v>6.6256000000000004</v>
      </c>
      <c r="CW10" s="42">
        <f t="shared" ref="CW10:CW28" si="117">CV10*CW$4</f>
        <v>6.6256000000000004</v>
      </c>
      <c r="CX10" s="31">
        <f>'Tabel Offset'!S11</f>
        <v>6.8285</v>
      </c>
      <c r="CY10" s="42">
        <f t="shared" ref="CY10:CY28" si="118">CX10*CY$4</f>
        <v>27.314</v>
      </c>
      <c r="CZ10" s="31">
        <f>'Tabel Offset'!T11</f>
        <v>6.9941000000000004</v>
      </c>
      <c r="DA10" s="39">
        <f t="shared" ref="DA10:DA28" si="119">CZ10*DA$4</f>
        <v>6.9941000000000004</v>
      </c>
      <c r="DB10" s="53">
        <f t="shared" ref="DB10:DB28" si="120">SUM(CW10,CY10,DA10)</f>
        <v>40.933700000000002</v>
      </c>
      <c r="DC10" s="56">
        <f t="shared" ref="DC10:DC28" si="121">2*1/3*DB$2*DB10</f>
        <v>9.5511966666666694</v>
      </c>
      <c r="DD10" s="59">
        <f t="shared" ref="DD10:DD28" si="122">DC10+CR10</f>
        <v>60.082396666666661</v>
      </c>
      <c r="DF10" s="44">
        <f>'Tabel Offset'!$A11</f>
        <v>2</v>
      </c>
      <c r="DG10" s="47">
        <f>IF(DF10="AP",0,IF(DF10="FP",'Tabel Offset'!$AA$4,DF10/20*'Tabel Offset'!$AA$4))</f>
        <v>9.5069999999999997</v>
      </c>
      <c r="DH10" s="31">
        <f>'Tabel Offset'!T11</f>
        <v>6.9941000000000004</v>
      </c>
      <c r="DI10" s="42">
        <f t="shared" ref="DI10:DI28" si="123">DH10*DI$4</f>
        <v>6.9941000000000004</v>
      </c>
      <c r="DJ10" s="31">
        <f>'Tabel Offset'!U11</f>
        <v>7.1372</v>
      </c>
      <c r="DK10" s="42">
        <f t="shared" ref="DK10:DK28" si="124">DJ10*DK$4</f>
        <v>28.5488</v>
      </c>
      <c r="DL10" s="31">
        <f>'Tabel Offset'!V11</f>
        <v>7.2625000000000002</v>
      </c>
      <c r="DM10" s="39">
        <f t="shared" ref="DM10:DM28" si="125">DL10*DM$4</f>
        <v>7.2625000000000002</v>
      </c>
      <c r="DN10" s="53">
        <f t="shared" ref="DN10:DN28" si="126">SUM(DI10,DK10,DM10)</f>
        <v>42.805400000000006</v>
      </c>
      <c r="DO10" s="56">
        <f t="shared" ref="DO10:DO28" si="127">2*1/3*DN$2*DN10</f>
        <v>9.9879266666666702</v>
      </c>
      <c r="DP10" s="59">
        <f t="shared" ref="DP10:DP30" si="128">DO10+DD10</f>
        <v>70.070323333333334</v>
      </c>
      <c r="DR10" s="44">
        <f>'Tabel Offset'!$A11</f>
        <v>2</v>
      </c>
      <c r="DS10" s="47">
        <f>IF(DR10="AP",0,IF(DR10="FP",'Tabel Offset'!$AA$4,DR10/20*'Tabel Offset'!$AA$4))</f>
        <v>9.5069999999999997</v>
      </c>
      <c r="DT10" s="31">
        <f>'Tabel Offset'!V11</f>
        <v>7.2625000000000002</v>
      </c>
      <c r="DU10" s="42">
        <f t="shared" ref="DU10:DU28" si="129">DT10*DU$4</f>
        <v>7.2625000000000002</v>
      </c>
      <c r="DV10" s="74">
        <v>7.3722000000000003</v>
      </c>
      <c r="DW10" s="42">
        <f t="shared" ref="DW10:DW30" si="130">DV10*DW$4</f>
        <v>29.488800000000001</v>
      </c>
      <c r="DX10" s="77">
        <f t="shared" ref="DX10:DX30" si="131">(EA10-DT$2)/2+DT$2</f>
        <v>8.2229500000000009</v>
      </c>
      <c r="DY10" s="74">
        <v>6.3520000000000003</v>
      </c>
      <c r="DZ10" s="39">
        <f t="shared" si="0"/>
        <v>6.3520000000000003</v>
      </c>
      <c r="EA10" s="74">
        <v>8.5458999999999996</v>
      </c>
      <c r="EB10" s="53">
        <f t="shared" si="1"/>
        <v>43.103300000000004</v>
      </c>
      <c r="EC10" s="56">
        <f t="shared" ref="EC10:EC27" si="132">2*1/3*((EA10-DT$2)/2)*EB10</f>
        <v>9.2801404899999902</v>
      </c>
      <c r="ED10" s="59">
        <f t="shared" si="68"/>
        <v>79.350463823333328</v>
      </c>
    </row>
    <row r="11" spans="1:134" ht="14.4" thickBot="1" x14ac:dyDescent="0.35">
      <c r="A11" s="23"/>
      <c r="B11" s="130">
        <f>'Tabel Offset'!$A12</f>
        <v>3</v>
      </c>
      <c r="C11" s="47">
        <f>IF(B11="AP",0,IF(B11="FP",'Tabel Offset'!$AA$4,B11/20*'Tabel Offset'!$AA$4))</f>
        <v>14.260499999999999</v>
      </c>
      <c r="D11" s="50">
        <f>'Tabel Offset'!B12</f>
        <v>0.24099999999999999</v>
      </c>
      <c r="E11" s="47">
        <f t="shared" si="2"/>
        <v>0.24099999999999999</v>
      </c>
      <c r="F11" s="50">
        <f>'Tabel Offset'!C12</f>
        <v>2.3513000000000002</v>
      </c>
      <c r="G11" s="88">
        <f t="shared" si="3"/>
        <v>9.4052000000000007</v>
      </c>
      <c r="H11" s="29">
        <f>'Tabel Offset'!D12</f>
        <v>3.0825999999999998</v>
      </c>
      <c r="I11" s="39">
        <f t="shared" si="4"/>
        <v>3.0825999999999998</v>
      </c>
      <c r="J11" s="53">
        <f t="shared" si="5"/>
        <v>12.7288</v>
      </c>
      <c r="K11" s="56">
        <f t="shared" si="6"/>
        <v>2.1214666666666666</v>
      </c>
      <c r="L11" s="58">
        <f t="shared" si="7"/>
        <v>2.1214666666666666</v>
      </c>
      <c r="N11" s="32">
        <f>'Tabel Offset'!$A12</f>
        <v>3</v>
      </c>
      <c r="O11" s="47">
        <f>IF(N11="AP",0,IF(N11="FP",'Tabel Offset'!$AA$4,N11/20*'Tabel Offset'!$AA$4))</f>
        <v>14.260499999999999</v>
      </c>
      <c r="P11" s="29">
        <f>'Tabel Offset'!D11</f>
        <v>1.5209999999999999</v>
      </c>
      <c r="Q11" s="42">
        <f t="shared" si="111"/>
        <v>1.5209999999999999</v>
      </c>
      <c r="R11" s="29">
        <f>'Tabel Offset'!E12</f>
        <v>3.5333999999999999</v>
      </c>
      <c r="S11" s="42">
        <f t="shared" si="112"/>
        <v>14.133599999999999</v>
      </c>
      <c r="T11" s="29">
        <f>'Tabel Offset'!F12</f>
        <v>3.9110999999999998</v>
      </c>
      <c r="U11" s="39">
        <f t="shared" si="113"/>
        <v>3.9110999999999998</v>
      </c>
      <c r="V11" s="53">
        <f t="shared" si="114"/>
        <v>19.5657</v>
      </c>
      <c r="W11" s="56">
        <f t="shared" si="115"/>
        <v>3.2609499999999998</v>
      </c>
      <c r="X11" s="59">
        <f t="shared" si="116"/>
        <v>5.382416666666666</v>
      </c>
      <c r="Z11" s="32">
        <f>'Tabel Offset'!$A12</f>
        <v>3</v>
      </c>
      <c r="AA11" s="47">
        <f>IF(Z11="AP",0,IF(Z11="FP",'Tabel Offset'!$AA$4,Z11/20*'Tabel Offset'!$AA$4))</f>
        <v>14.260499999999999</v>
      </c>
      <c r="AB11" s="29">
        <f>'Tabel Offset'!F12</f>
        <v>3.9110999999999998</v>
      </c>
      <c r="AC11" s="42">
        <f t="shared" si="14"/>
        <v>3.9110999999999998</v>
      </c>
      <c r="AD11" s="29">
        <f>'Tabel Offset'!G12</f>
        <v>4.5731000000000002</v>
      </c>
      <c r="AE11" s="42">
        <f t="shared" si="15"/>
        <v>18.292400000000001</v>
      </c>
      <c r="AF11" s="29">
        <f>'Tabel Offset'!H12</f>
        <v>5.0313999999999997</v>
      </c>
      <c r="AG11" s="39">
        <f t="shared" si="16"/>
        <v>5.0313999999999997</v>
      </c>
      <c r="AH11" s="53">
        <f t="shared" si="17"/>
        <v>27.234900000000003</v>
      </c>
      <c r="AI11" s="56">
        <f t="shared" si="18"/>
        <v>9.0783000000000005</v>
      </c>
      <c r="AJ11" s="59">
        <f t="shared" si="19"/>
        <v>14.460716666666666</v>
      </c>
      <c r="AL11" s="32">
        <f>'Tabel Offset'!$A12</f>
        <v>3</v>
      </c>
      <c r="AM11" s="47">
        <f>IF(AL11="AP",0,IF(AL11="FP",'Tabel Offset'!$AA$4,AL11/20*'Tabel Offset'!$AA$4))</f>
        <v>14.260499999999999</v>
      </c>
      <c r="AN11" s="29">
        <f>'Tabel Offset'!H12</f>
        <v>5.0313999999999997</v>
      </c>
      <c r="AO11" s="42">
        <f t="shared" si="20"/>
        <v>5.0313999999999997</v>
      </c>
      <c r="AP11" s="90">
        <f>'Tabel Offset'!I12</f>
        <v>5.4565000000000001</v>
      </c>
      <c r="AQ11" s="42">
        <f t="shared" si="21"/>
        <v>21.826000000000001</v>
      </c>
      <c r="AR11" s="29">
        <f>'Tabel Offset'!J11</f>
        <v>3.7938999999999998</v>
      </c>
      <c r="AS11" s="39">
        <f t="shared" si="22"/>
        <v>3.7938999999999998</v>
      </c>
      <c r="AT11" s="53">
        <f t="shared" si="23"/>
        <v>30.651299999999999</v>
      </c>
      <c r="AU11" s="56">
        <f t="shared" si="24"/>
        <v>10.217099999999999</v>
      </c>
      <c r="AV11" s="59">
        <f t="shared" si="25"/>
        <v>24.677816666666665</v>
      </c>
      <c r="AX11" s="44">
        <f>'Tabel Offset'!$A12</f>
        <v>3</v>
      </c>
      <c r="AY11" s="47">
        <f>IF(AX11="AP",0,IF(AX11="FP",'Tabel Offset'!$AA$4,AX11/20*'Tabel Offset'!$AA$4))</f>
        <v>14.260499999999999</v>
      </c>
      <c r="AZ11" s="29">
        <f>'Tabel Offset'!J12</f>
        <v>5.8072999999999997</v>
      </c>
      <c r="BA11" s="42">
        <f t="shared" si="26"/>
        <v>5.8072999999999997</v>
      </c>
      <c r="BB11" s="29">
        <f>'Tabel Offset'!K12</f>
        <v>6.1227</v>
      </c>
      <c r="BC11" s="42">
        <f t="shared" si="27"/>
        <v>24.4908</v>
      </c>
      <c r="BD11" s="29">
        <f>'Tabel Offset'!L12</f>
        <v>6.4538000000000002</v>
      </c>
      <c r="BE11" s="39">
        <f t="shared" si="28"/>
        <v>6.4538000000000002</v>
      </c>
      <c r="BF11" s="53">
        <f t="shared" si="29"/>
        <v>36.751899999999999</v>
      </c>
      <c r="BG11" s="56">
        <f t="shared" si="30"/>
        <v>12.250633333333333</v>
      </c>
      <c r="BH11" s="59">
        <f t="shared" si="31"/>
        <v>36.928449999999998</v>
      </c>
      <c r="BJ11" s="44">
        <f>'Tabel Offset'!$A12</f>
        <v>3</v>
      </c>
      <c r="BK11" s="47">
        <f>IF(BJ11="AP",0,IF(BJ11="FP",'Tabel Offset'!$AA$4,BJ11/20*'Tabel Offset'!$AA$4))</f>
        <v>14.260499999999999</v>
      </c>
      <c r="BL11" s="29">
        <f>'Tabel Offset'!L12</f>
        <v>6.4538000000000002</v>
      </c>
      <c r="BM11" s="42">
        <f t="shared" si="32"/>
        <v>6.4538000000000002</v>
      </c>
      <c r="BN11" s="29">
        <f>'Tabel Offset'!M12</f>
        <v>6.7876000000000003</v>
      </c>
      <c r="BO11" s="42">
        <f t="shared" si="33"/>
        <v>27.150400000000001</v>
      </c>
      <c r="BP11" s="29">
        <f>'Tabel Offset'!N12</f>
        <v>7.1273999999999997</v>
      </c>
      <c r="BQ11" s="39">
        <f t="shared" si="34"/>
        <v>7.1273999999999997</v>
      </c>
      <c r="BR11" s="53">
        <f t="shared" si="35"/>
        <v>40.7316</v>
      </c>
      <c r="BS11" s="56">
        <f t="shared" si="36"/>
        <v>13.577199999999999</v>
      </c>
      <c r="BT11" s="59">
        <f t="shared" si="37"/>
        <v>50.505649999999996</v>
      </c>
      <c r="BV11" s="44">
        <f>'Tabel Offset'!$A12</f>
        <v>3</v>
      </c>
      <c r="BW11" s="47">
        <f>IF(BV11="AP",0,IF(BV11="FP",'Tabel Offset'!$AA$4,BV11/20*'Tabel Offset'!$AA$4))</f>
        <v>14.260499999999999</v>
      </c>
      <c r="BX11" s="29">
        <f>'Tabel Offset'!N12</f>
        <v>7.1273999999999997</v>
      </c>
      <c r="BY11" s="42">
        <f t="shared" si="38"/>
        <v>7.1273999999999997</v>
      </c>
      <c r="BZ11" s="29">
        <f>'Tabel Offset'!O12</f>
        <v>7.3617999999999997</v>
      </c>
      <c r="CA11" s="42">
        <f t="shared" si="39"/>
        <v>29.447199999999999</v>
      </c>
      <c r="CB11" s="31">
        <f>'Tabel Offset'!P12</f>
        <v>7.5007000000000001</v>
      </c>
      <c r="CC11" s="39">
        <f t="shared" si="40"/>
        <v>7.5007000000000001</v>
      </c>
      <c r="CD11" s="53">
        <f t="shared" si="41"/>
        <v>44.075299999999999</v>
      </c>
      <c r="CE11" s="56">
        <f t="shared" si="42"/>
        <v>14.691766666666666</v>
      </c>
      <c r="CF11" s="59">
        <f t="shared" si="43"/>
        <v>65.197416666666669</v>
      </c>
      <c r="CH11" s="44">
        <f>'Tabel Offset'!$A12</f>
        <v>3</v>
      </c>
      <c r="CI11" s="47">
        <f>IF(CH11="AP",0,IF(CH11="FP",'Tabel Offset'!$AA$4,CH11/20*'Tabel Offset'!$AA$4))</f>
        <v>14.260499999999999</v>
      </c>
      <c r="CJ11" s="31">
        <f>'Tabel Offset'!P12</f>
        <v>7.5007000000000001</v>
      </c>
      <c r="CK11" s="42">
        <f t="shared" si="44"/>
        <v>7.5007000000000001</v>
      </c>
      <c r="CL11" s="31">
        <f>'Tabel Offset'!Q12</f>
        <v>7.5528000000000004</v>
      </c>
      <c r="CM11" s="42">
        <f t="shared" si="45"/>
        <v>30.211200000000002</v>
      </c>
      <c r="CN11" s="31">
        <f>'Tabel Offset'!R12</f>
        <v>7.5998999999999999</v>
      </c>
      <c r="CO11" s="39">
        <f t="shared" si="46"/>
        <v>7.5998999999999999</v>
      </c>
      <c r="CP11" s="53">
        <f t="shared" si="47"/>
        <v>45.311799999999998</v>
      </c>
      <c r="CQ11" s="56">
        <f t="shared" si="48"/>
        <v>7.5519666666666661</v>
      </c>
      <c r="CR11" s="59">
        <f t="shared" si="49"/>
        <v>72.749383333333341</v>
      </c>
      <c r="CT11" s="44">
        <f>'Tabel Offset'!$A12</f>
        <v>3</v>
      </c>
      <c r="CU11" s="47">
        <f>IF(CT11="AP",0,IF(CT11="FP",'Tabel Offset'!$AA$4,CT11/20*'Tabel Offset'!$AA$4))</f>
        <v>14.260499999999999</v>
      </c>
      <c r="CV11" s="31">
        <f>'Tabel Offset'!R12</f>
        <v>7.5998999999999999</v>
      </c>
      <c r="CW11" s="42">
        <f t="shared" si="117"/>
        <v>7.5998999999999999</v>
      </c>
      <c r="CX11" s="31">
        <f>'Tabel Offset'!S12</f>
        <v>7.6603000000000003</v>
      </c>
      <c r="CY11" s="42">
        <f t="shared" si="118"/>
        <v>30.641200000000001</v>
      </c>
      <c r="CZ11" s="31">
        <f>'Tabel Offset'!T12</f>
        <v>7.7146999999999997</v>
      </c>
      <c r="DA11" s="39">
        <f t="shared" si="119"/>
        <v>7.7146999999999997</v>
      </c>
      <c r="DB11" s="53">
        <f t="shared" si="120"/>
        <v>45.955800000000004</v>
      </c>
      <c r="DC11" s="56">
        <f t="shared" si="121"/>
        <v>10.723020000000004</v>
      </c>
      <c r="DD11" s="59">
        <f t="shared" si="122"/>
        <v>83.472403333333347</v>
      </c>
      <c r="DF11" s="44">
        <f>'Tabel Offset'!$A12</f>
        <v>3</v>
      </c>
      <c r="DG11" s="47">
        <f>IF(DF11="AP",0,IF(DF11="FP",'Tabel Offset'!$AA$4,DF11/20*'Tabel Offset'!$AA$4))</f>
        <v>14.260499999999999</v>
      </c>
      <c r="DH11" s="31">
        <f>'Tabel Offset'!T12</f>
        <v>7.7146999999999997</v>
      </c>
      <c r="DI11" s="42">
        <f t="shared" si="123"/>
        <v>7.7146999999999997</v>
      </c>
      <c r="DJ11" s="31">
        <f>'Tabel Offset'!U12</f>
        <v>7.7633999999999999</v>
      </c>
      <c r="DK11" s="42">
        <f t="shared" si="124"/>
        <v>31.053599999999999</v>
      </c>
      <c r="DL11" s="31">
        <f>'Tabel Offset'!V12</f>
        <v>7.8068999999999997</v>
      </c>
      <c r="DM11" s="39">
        <f t="shared" si="125"/>
        <v>7.8068999999999997</v>
      </c>
      <c r="DN11" s="53">
        <f t="shared" si="126"/>
        <v>46.575199999999995</v>
      </c>
      <c r="DO11" s="56">
        <f t="shared" si="127"/>
        <v>10.867546666666668</v>
      </c>
      <c r="DP11" s="59">
        <f t="shared" si="128"/>
        <v>94.339950000000016</v>
      </c>
      <c r="DR11" s="44">
        <f>'Tabel Offset'!$A12</f>
        <v>3</v>
      </c>
      <c r="DS11" s="47">
        <f>IF(DR11="AP",0,IF(DR11="FP",'Tabel Offset'!$AA$4,DR11/20*'Tabel Offset'!$AA$4))</f>
        <v>14.260499999999999</v>
      </c>
      <c r="DT11" s="31">
        <f>'Tabel Offset'!V12</f>
        <v>7.8068999999999997</v>
      </c>
      <c r="DU11" s="42">
        <f t="shared" si="129"/>
        <v>7.8068999999999997</v>
      </c>
      <c r="DV11" s="74">
        <v>7.835</v>
      </c>
      <c r="DW11" s="42">
        <f t="shared" si="130"/>
        <v>31.34</v>
      </c>
      <c r="DX11" s="77">
        <f t="shared" si="131"/>
        <v>8.1423000000000005</v>
      </c>
      <c r="DY11" s="74">
        <v>6.8120000000000003</v>
      </c>
      <c r="DZ11" s="39">
        <f t="shared" si="0"/>
        <v>6.8120000000000003</v>
      </c>
      <c r="EA11" s="74">
        <v>8.3846000000000007</v>
      </c>
      <c r="EB11" s="53">
        <f t="shared" si="1"/>
        <v>45.9589</v>
      </c>
      <c r="EC11" s="56">
        <f t="shared" si="132"/>
        <v>7.4238943133333386</v>
      </c>
      <c r="ED11" s="59">
        <f t="shared" si="68"/>
        <v>101.76384431333335</v>
      </c>
    </row>
    <row r="12" spans="1:134" ht="14.4" thickBot="1" x14ac:dyDescent="0.35">
      <c r="A12" s="24"/>
      <c r="B12" s="130">
        <f>'Tabel Offset'!$A13</f>
        <v>4</v>
      </c>
      <c r="C12" s="47">
        <f>IF(B12="AP",0,IF(B12="FP",'Tabel Offset'!$AA$4,B12/20*'Tabel Offset'!$AA$4))</f>
        <v>19.013999999999999</v>
      </c>
      <c r="D12" s="50">
        <f>'Tabel Offset'!B13</f>
        <v>0.53</v>
      </c>
      <c r="E12" s="47">
        <f t="shared" si="2"/>
        <v>0.53</v>
      </c>
      <c r="F12" s="50">
        <f>'Tabel Offset'!C13</f>
        <v>4.5380000000000003</v>
      </c>
      <c r="G12" s="88">
        <f t="shared" si="3"/>
        <v>18.152000000000001</v>
      </c>
      <c r="H12" s="29">
        <f>'Tabel Offset'!D13</f>
        <v>5.2294999999999998</v>
      </c>
      <c r="I12" s="39">
        <f t="shared" si="4"/>
        <v>5.2294999999999998</v>
      </c>
      <c r="J12" s="53">
        <f t="shared" si="5"/>
        <v>23.911500000000004</v>
      </c>
      <c r="K12" s="56">
        <f t="shared" si="6"/>
        <v>3.9852500000000006</v>
      </c>
      <c r="L12" s="58">
        <f t="shared" si="7"/>
        <v>3.9852500000000006</v>
      </c>
      <c r="N12" s="32">
        <f>'Tabel Offset'!$A13</f>
        <v>4</v>
      </c>
      <c r="O12" s="47">
        <f>IF(N12="AP",0,IF(N12="FP",'Tabel Offset'!$AA$4,N12/20*'Tabel Offset'!$AA$4))</f>
        <v>19.013999999999999</v>
      </c>
      <c r="P12" s="29">
        <f>'Tabel Offset'!D13</f>
        <v>5.2294999999999998</v>
      </c>
      <c r="Q12" s="42">
        <f t="shared" si="111"/>
        <v>5.2294999999999998</v>
      </c>
      <c r="R12" s="29">
        <f>'Tabel Offset'!E13</f>
        <v>5.6176000000000004</v>
      </c>
      <c r="S12" s="42">
        <f t="shared" si="112"/>
        <v>22.470400000000001</v>
      </c>
      <c r="T12" s="29">
        <f>'Tabel Offset'!F13</f>
        <v>5.9420000000000002</v>
      </c>
      <c r="U12" s="39">
        <f t="shared" si="113"/>
        <v>5.9420000000000002</v>
      </c>
      <c r="V12" s="53">
        <f t="shared" si="114"/>
        <v>33.6419</v>
      </c>
      <c r="W12" s="56">
        <f t="shared" si="115"/>
        <v>5.606983333333333</v>
      </c>
      <c r="X12" s="59">
        <f t="shared" si="116"/>
        <v>9.5922333333333327</v>
      </c>
      <c r="Z12" s="32">
        <f>'Tabel Offset'!$A13</f>
        <v>4</v>
      </c>
      <c r="AA12" s="47">
        <f>IF(Z12="AP",0,IF(Z12="FP",'Tabel Offset'!$AA$4,Z12/20*'Tabel Offset'!$AA$4))</f>
        <v>19.013999999999999</v>
      </c>
      <c r="AB12" s="29">
        <f>'Tabel Offset'!F13</f>
        <v>5.9420000000000002</v>
      </c>
      <c r="AC12" s="42">
        <f t="shared" si="14"/>
        <v>5.9420000000000002</v>
      </c>
      <c r="AD12" s="29">
        <f>'Tabel Offset'!G13</f>
        <v>6.4107000000000003</v>
      </c>
      <c r="AE12" s="42">
        <f t="shared" si="15"/>
        <v>25.642800000000001</v>
      </c>
      <c r="AF12" s="29">
        <f>'Tabel Offset'!H13</f>
        <v>6.8182</v>
      </c>
      <c r="AG12" s="39">
        <f t="shared" si="16"/>
        <v>6.8182</v>
      </c>
      <c r="AH12" s="53">
        <f t="shared" si="17"/>
        <v>38.402999999999999</v>
      </c>
      <c r="AI12" s="56">
        <f t="shared" si="18"/>
        <v>12.800999999999998</v>
      </c>
      <c r="AJ12" s="59">
        <f t="shared" si="19"/>
        <v>22.393233333333331</v>
      </c>
      <c r="AL12" s="32">
        <f>'Tabel Offset'!$A13</f>
        <v>4</v>
      </c>
      <c r="AM12" s="47">
        <f>IF(AL12="AP",0,IF(AL12="FP",'Tabel Offset'!$AA$4,AL12/20*'Tabel Offset'!$AA$4))</f>
        <v>19.013999999999999</v>
      </c>
      <c r="AN12" s="29">
        <f>'Tabel Offset'!H13</f>
        <v>6.8182</v>
      </c>
      <c r="AO12" s="42">
        <f t="shared" si="20"/>
        <v>6.8182</v>
      </c>
      <c r="AP12" s="90">
        <f>'Tabel Offset'!I13</f>
        <v>7.1653000000000002</v>
      </c>
      <c r="AQ12" s="42">
        <f t="shared" si="21"/>
        <v>28.661200000000001</v>
      </c>
      <c r="AR12" s="29">
        <f>'Tabel Offset'!J12</f>
        <v>5.8072999999999997</v>
      </c>
      <c r="AS12" s="39">
        <f t="shared" si="22"/>
        <v>5.8072999999999997</v>
      </c>
      <c r="AT12" s="53">
        <f t="shared" si="23"/>
        <v>41.286699999999996</v>
      </c>
      <c r="AU12" s="56">
        <f t="shared" si="24"/>
        <v>13.762233333333331</v>
      </c>
      <c r="AV12" s="59">
        <f t="shared" si="25"/>
        <v>36.155466666666662</v>
      </c>
      <c r="AX12" s="44">
        <f>'Tabel Offset'!$A13</f>
        <v>4</v>
      </c>
      <c r="AY12" s="47">
        <f>IF(AX12="AP",0,IF(AX12="FP",'Tabel Offset'!$AA$4,AX12/20*'Tabel Offset'!$AA$4))</f>
        <v>19.013999999999999</v>
      </c>
      <c r="AZ12" s="29">
        <f>'Tabel Offset'!J13</f>
        <v>7.4386999999999999</v>
      </c>
      <c r="BA12" s="42">
        <f t="shared" si="26"/>
        <v>7.4386999999999999</v>
      </c>
      <c r="BB12" s="29">
        <f>'Tabel Offset'!K13</f>
        <v>7.6449999999999996</v>
      </c>
      <c r="BC12" s="42">
        <f t="shared" si="27"/>
        <v>30.58</v>
      </c>
      <c r="BD12" s="29">
        <f>'Tabel Offset'!L13</f>
        <v>7.7888000000000002</v>
      </c>
      <c r="BE12" s="39">
        <f t="shared" si="28"/>
        <v>7.7888000000000002</v>
      </c>
      <c r="BF12" s="53">
        <f t="shared" si="29"/>
        <v>45.807499999999997</v>
      </c>
      <c r="BG12" s="56">
        <f t="shared" si="30"/>
        <v>15.269166666666665</v>
      </c>
      <c r="BH12" s="59">
        <f t="shared" si="31"/>
        <v>51.424633333333325</v>
      </c>
      <c r="BJ12" s="44">
        <f>'Tabel Offset'!$A13</f>
        <v>4</v>
      </c>
      <c r="BK12" s="47">
        <f>IF(BJ12="AP",0,IF(BJ12="FP",'Tabel Offset'!$AA$4,BJ12/20*'Tabel Offset'!$AA$4))</f>
        <v>19.013999999999999</v>
      </c>
      <c r="BL12" s="29">
        <f>'Tabel Offset'!L13</f>
        <v>7.7888000000000002</v>
      </c>
      <c r="BM12" s="42">
        <f t="shared" si="32"/>
        <v>7.7888000000000002</v>
      </c>
      <c r="BN12" s="29">
        <f>'Tabel Offset'!M13</f>
        <v>7.8757000000000001</v>
      </c>
      <c r="BO12" s="42">
        <f t="shared" si="33"/>
        <v>31.502800000000001</v>
      </c>
      <c r="BP12" s="29">
        <f>'Tabel Offset'!N13</f>
        <v>7.9268999999999998</v>
      </c>
      <c r="BQ12" s="39">
        <f t="shared" si="34"/>
        <v>7.9268999999999998</v>
      </c>
      <c r="BR12" s="53">
        <f t="shared" si="35"/>
        <v>47.218500000000006</v>
      </c>
      <c r="BS12" s="56">
        <f t="shared" si="36"/>
        <v>15.739500000000001</v>
      </c>
      <c r="BT12" s="59">
        <f t="shared" si="37"/>
        <v>67.164133333333325</v>
      </c>
      <c r="BV12" s="44">
        <f>'Tabel Offset'!$A13</f>
        <v>4</v>
      </c>
      <c r="BW12" s="47">
        <f>IF(BV12="AP",0,IF(BV12="FP",'Tabel Offset'!$AA$4,BV12/20*'Tabel Offset'!$AA$4))</f>
        <v>19.013999999999999</v>
      </c>
      <c r="BX12" s="29">
        <f>'Tabel Offset'!N13</f>
        <v>7.9268999999999998</v>
      </c>
      <c r="BY12" s="42">
        <f t="shared" si="38"/>
        <v>7.9268999999999998</v>
      </c>
      <c r="BZ12" s="29">
        <f>'Tabel Offset'!O13</f>
        <v>7.9618000000000002</v>
      </c>
      <c r="CA12" s="42">
        <f t="shared" si="39"/>
        <v>31.847200000000001</v>
      </c>
      <c r="CB12" s="31">
        <f>'Tabel Offset'!P13</f>
        <v>7.9875999999999996</v>
      </c>
      <c r="CC12" s="39">
        <f t="shared" si="40"/>
        <v>7.9875999999999996</v>
      </c>
      <c r="CD12" s="53">
        <f t="shared" si="41"/>
        <v>47.761700000000005</v>
      </c>
      <c r="CE12" s="56">
        <f t="shared" si="42"/>
        <v>15.920566666666668</v>
      </c>
      <c r="CF12" s="59">
        <f t="shared" si="43"/>
        <v>83.084699999999998</v>
      </c>
      <c r="CH12" s="44">
        <f>'Tabel Offset'!$A13</f>
        <v>4</v>
      </c>
      <c r="CI12" s="47">
        <f>IF(CH12="AP",0,IF(CH12="FP",'Tabel Offset'!$AA$4,CH12/20*'Tabel Offset'!$AA$4))</f>
        <v>19.013999999999999</v>
      </c>
      <c r="CJ12" s="31">
        <f>'Tabel Offset'!P13</f>
        <v>7.9875999999999996</v>
      </c>
      <c r="CK12" s="42">
        <f t="shared" si="44"/>
        <v>7.9875999999999996</v>
      </c>
      <c r="CL12" s="31">
        <f>'Tabel Offset'!Q13</f>
        <v>7.9984000000000002</v>
      </c>
      <c r="CM12" s="42">
        <f t="shared" si="45"/>
        <v>31.993600000000001</v>
      </c>
      <c r="CN12" s="31">
        <f>'Tabel Offset'!R13</f>
        <v>8.0084</v>
      </c>
      <c r="CO12" s="39">
        <f t="shared" si="46"/>
        <v>8.0084</v>
      </c>
      <c r="CP12" s="53">
        <f t="shared" si="47"/>
        <v>47.989600000000003</v>
      </c>
      <c r="CQ12" s="56">
        <f t="shared" si="48"/>
        <v>7.9982666666666669</v>
      </c>
      <c r="CR12" s="59">
        <f t="shared" si="49"/>
        <v>91.082966666666664</v>
      </c>
      <c r="CT12" s="44">
        <f>'Tabel Offset'!$A13</f>
        <v>4</v>
      </c>
      <c r="CU12" s="47">
        <f>IF(CT12="AP",0,IF(CT12="FP",'Tabel Offset'!$AA$4,CT12/20*'Tabel Offset'!$AA$4))</f>
        <v>19.013999999999999</v>
      </c>
      <c r="CV12" s="31">
        <f>'Tabel Offset'!R13</f>
        <v>8.0084</v>
      </c>
      <c r="CW12" s="42">
        <f t="shared" si="117"/>
        <v>8.0084</v>
      </c>
      <c r="CX12" s="31">
        <f>'Tabel Offset'!S13</f>
        <v>8.0214999999999996</v>
      </c>
      <c r="CY12" s="42">
        <f t="shared" si="118"/>
        <v>32.085999999999999</v>
      </c>
      <c r="CZ12" s="31">
        <f>'Tabel Offset'!T13</f>
        <v>8.0335000000000001</v>
      </c>
      <c r="DA12" s="39">
        <f t="shared" si="119"/>
        <v>8.0335000000000001</v>
      </c>
      <c r="DB12" s="53">
        <f t="shared" si="120"/>
        <v>48.127899999999997</v>
      </c>
      <c r="DC12" s="56">
        <f t="shared" si="121"/>
        <v>11.229843333333335</v>
      </c>
      <c r="DD12" s="59">
        <f t="shared" si="122"/>
        <v>102.31281</v>
      </c>
      <c r="DF12" s="44">
        <f>'Tabel Offset'!$A13</f>
        <v>4</v>
      </c>
      <c r="DG12" s="47">
        <f>IF(DF12="AP",0,IF(DF12="FP",'Tabel Offset'!$AA$4,DF12/20*'Tabel Offset'!$AA$4))</f>
        <v>19.013999999999999</v>
      </c>
      <c r="DH12" s="31">
        <f>'Tabel Offset'!T13</f>
        <v>8.0335000000000001</v>
      </c>
      <c r="DI12" s="42">
        <f t="shared" si="123"/>
        <v>8.0335000000000001</v>
      </c>
      <c r="DJ12" s="31">
        <f>'Tabel Offset'!U13</f>
        <v>8.0444999999999993</v>
      </c>
      <c r="DK12" s="42">
        <f t="shared" si="124"/>
        <v>32.177999999999997</v>
      </c>
      <c r="DL12" s="31">
        <f>'Tabel Offset'!V13</f>
        <v>8.0545000000000009</v>
      </c>
      <c r="DM12" s="39">
        <f t="shared" si="125"/>
        <v>8.0545000000000009</v>
      </c>
      <c r="DN12" s="53">
        <f t="shared" si="126"/>
        <v>48.266000000000005</v>
      </c>
      <c r="DO12" s="56">
        <f t="shared" si="127"/>
        <v>11.262066666666671</v>
      </c>
      <c r="DP12" s="59">
        <f t="shared" si="128"/>
        <v>113.57487666666667</v>
      </c>
      <c r="DR12" s="44">
        <f>'Tabel Offset'!$A13</f>
        <v>4</v>
      </c>
      <c r="DS12" s="47">
        <f>IF(DR12="AP",0,IF(DR12="FP",'Tabel Offset'!$AA$4,DR12/20*'Tabel Offset'!$AA$4))</f>
        <v>19.013999999999999</v>
      </c>
      <c r="DT12" s="31">
        <f>'Tabel Offset'!V13</f>
        <v>8.0545000000000009</v>
      </c>
      <c r="DU12" s="42">
        <f t="shared" si="129"/>
        <v>8.0545000000000009</v>
      </c>
      <c r="DV12" s="74">
        <v>8.0587999999999997</v>
      </c>
      <c r="DW12" s="42">
        <f t="shared" si="130"/>
        <v>32.235199999999999</v>
      </c>
      <c r="DX12" s="77">
        <f t="shared" si="131"/>
        <v>8.0888500000000008</v>
      </c>
      <c r="DY12" s="74">
        <v>7.0170000000000003</v>
      </c>
      <c r="DZ12" s="39">
        <f t="shared" si="0"/>
        <v>7.0170000000000003</v>
      </c>
      <c r="EA12" s="74">
        <v>8.2776999999999994</v>
      </c>
      <c r="EB12" s="53">
        <f t="shared" si="1"/>
        <v>47.306699999999999</v>
      </c>
      <c r="EC12" s="56">
        <f t="shared" si="132"/>
        <v>5.955913529999985</v>
      </c>
      <c r="ED12" s="59">
        <f t="shared" si="68"/>
        <v>119.53079019666666</v>
      </c>
    </row>
    <row r="13" spans="1:134" ht="14.4" thickBot="1" x14ac:dyDescent="0.35">
      <c r="A13" s="23"/>
      <c r="B13" s="130">
        <f>'Tabel Offset'!$A14</f>
        <v>5</v>
      </c>
      <c r="C13" s="47">
        <f>IF(B13="AP",0,IF(B13="FP",'Tabel Offset'!$AA$4,B13/20*'Tabel Offset'!$AA$4))</f>
        <v>23.767499999999998</v>
      </c>
      <c r="D13" s="50">
        <f>'Tabel Offset'!B14</f>
        <v>1.075</v>
      </c>
      <c r="E13" s="47">
        <f t="shared" si="2"/>
        <v>1.075</v>
      </c>
      <c r="F13" s="50">
        <f>'Tabel Offset'!C14</f>
        <v>6.5491000000000001</v>
      </c>
      <c r="G13" s="88">
        <f t="shared" si="3"/>
        <v>26.196400000000001</v>
      </c>
      <c r="H13" s="29">
        <f>'Tabel Offset'!D14</f>
        <v>6.9298000000000002</v>
      </c>
      <c r="I13" s="39">
        <f t="shared" si="4"/>
        <v>6.9298000000000002</v>
      </c>
      <c r="J13" s="53">
        <f t="shared" si="5"/>
        <v>34.2012</v>
      </c>
      <c r="K13" s="56">
        <f t="shared" si="6"/>
        <v>5.7001999999999997</v>
      </c>
      <c r="L13" s="58">
        <f t="shared" si="7"/>
        <v>5.7001999999999997</v>
      </c>
      <c r="N13" s="32">
        <f>'Tabel Offset'!$A14</f>
        <v>5</v>
      </c>
      <c r="O13" s="47">
        <f>IF(N13="AP",0,IF(N13="FP",'Tabel Offset'!$AA$4,N13/20*'Tabel Offset'!$AA$4))</f>
        <v>23.767499999999998</v>
      </c>
      <c r="P13" s="29">
        <f>'Tabel Offset'!D13</f>
        <v>5.2294999999999998</v>
      </c>
      <c r="Q13" s="42">
        <f t="shared" si="111"/>
        <v>5.2294999999999998</v>
      </c>
      <c r="R13" s="29">
        <f>'Tabel Offset'!E14</f>
        <v>7.2003000000000004</v>
      </c>
      <c r="S13" s="42">
        <f t="shared" si="112"/>
        <v>28.801200000000001</v>
      </c>
      <c r="T13" s="29">
        <f>'Tabel Offset'!F14</f>
        <v>7.4073000000000002</v>
      </c>
      <c r="U13" s="39">
        <f t="shared" si="113"/>
        <v>7.4073000000000002</v>
      </c>
      <c r="V13" s="53">
        <f t="shared" si="114"/>
        <v>41.438000000000002</v>
      </c>
      <c r="W13" s="56">
        <f t="shared" si="115"/>
        <v>6.9063333333333334</v>
      </c>
      <c r="X13" s="59">
        <f t="shared" si="116"/>
        <v>12.606533333333333</v>
      </c>
      <c r="Z13" s="32">
        <f>'Tabel Offset'!$A14</f>
        <v>5</v>
      </c>
      <c r="AA13" s="47">
        <f>IF(Z13="AP",0,IF(Z13="FP",'Tabel Offset'!$AA$4,Z13/20*'Tabel Offset'!$AA$4))</f>
        <v>23.767499999999998</v>
      </c>
      <c r="AB13" s="29">
        <f>'Tabel Offset'!F14</f>
        <v>7.4073000000000002</v>
      </c>
      <c r="AC13" s="42">
        <f t="shared" si="14"/>
        <v>7.4073000000000002</v>
      </c>
      <c r="AD13" s="29">
        <f>'Tabel Offset'!G14</f>
        <v>7.6882000000000001</v>
      </c>
      <c r="AE13" s="42">
        <f t="shared" si="15"/>
        <v>30.752800000000001</v>
      </c>
      <c r="AF13" s="29">
        <f>'Tabel Offset'!H14</f>
        <v>7.9081000000000001</v>
      </c>
      <c r="AG13" s="39">
        <f t="shared" si="16"/>
        <v>7.9081000000000001</v>
      </c>
      <c r="AH13" s="53">
        <f t="shared" si="17"/>
        <v>46.068199999999997</v>
      </c>
      <c r="AI13" s="56">
        <f t="shared" si="18"/>
        <v>15.356066666666665</v>
      </c>
      <c r="AJ13" s="59">
        <f t="shared" si="19"/>
        <v>27.962599999999998</v>
      </c>
      <c r="AL13" s="32">
        <f>'Tabel Offset'!$A14</f>
        <v>5</v>
      </c>
      <c r="AM13" s="47">
        <f>IF(AL13="AP",0,IF(AL13="FP",'Tabel Offset'!$AA$4,AL13/20*'Tabel Offset'!$AA$4))</f>
        <v>23.767499999999998</v>
      </c>
      <c r="AN13" s="29">
        <f>'Tabel Offset'!H14</f>
        <v>7.9081000000000001</v>
      </c>
      <c r="AO13" s="42">
        <f t="shared" si="20"/>
        <v>7.9081000000000001</v>
      </c>
      <c r="AP13" s="90">
        <f>'Tabel Offset'!I14</f>
        <v>8.0207999999999995</v>
      </c>
      <c r="AQ13" s="42">
        <f t="shared" si="21"/>
        <v>32.083199999999998</v>
      </c>
      <c r="AR13" s="29">
        <f>'Tabel Offset'!J13</f>
        <v>7.4386999999999999</v>
      </c>
      <c r="AS13" s="39">
        <f t="shared" si="22"/>
        <v>7.4386999999999999</v>
      </c>
      <c r="AT13" s="53">
        <f t="shared" si="23"/>
        <v>47.429999999999993</v>
      </c>
      <c r="AU13" s="56">
        <f t="shared" si="24"/>
        <v>15.809999999999997</v>
      </c>
      <c r="AV13" s="59">
        <f t="shared" si="25"/>
        <v>43.772599999999997</v>
      </c>
      <c r="AX13" s="44">
        <f>'Tabel Offset'!$A14</f>
        <v>5</v>
      </c>
      <c r="AY13" s="47">
        <f>IF(AX13="AP",0,IF(AX13="FP",'Tabel Offset'!$AA$4,AX13/20*'Tabel Offset'!$AA$4))</f>
        <v>23.767499999999998</v>
      </c>
      <c r="AZ13" s="29">
        <f>'Tabel Offset'!J14</f>
        <v>8.0663999999999998</v>
      </c>
      <c r="BA13" s="42">
        <f t="shared" si="26"/>
        <v>8.0663999999999998</v>
      </c>
      <c r="BB13" s="29">
        <f>'Tabel Offset'!K14</f>
        <v>8.0914000000000001</v>
      </c>
      <c r="BC13" s="42">
        <f t="shared" si="27"/>
        <v>32.365600000000001</v>
      </c>
      <c r="BD13" s="29">
        <f>'Tabel Offset'!L14</f>
        <v>8.1066000000000003</v>
      </c>
      <c r="BE13" s="39">
        <f t="shared" si="28"/>
        <v>8.1066000000000003</v>
      </c>
      <c r="BF13" s="53">
        <f t="shared" si="29"/>
        <v>48.538600000000002</v>
      </c>
      <c r="BG13" s="56">
        <f t="shared" si="30"/>
        <v>16.179533333333332</v>
      </c>
      <c r="BH13" s="59">
        <f t="shared" si="31"/>
        <v>59.952133333333329</v>
      </c>
      <c r="BJ13" s="44">
        <f>'Tabel Offset'!$A14</f>
        <v>5</v>
      </c>
      <c r="BK13" s="47">
        <f>IF(BJ13="AP",0,IF(BJ13="FP",'Tabel Offset'!$AA$4,BJ13/20*'Tabel Offset'!$AA$4))</f>
        <v>23.767499999999998</v>
      </c>
      <c r="BL13" s="29">
        <f>'Tabel Offset'!L14</f>
        <v>8.1066000000000003</v>
      </c>
      <c r="BM13" s="42">
        <f t="shared" si="32"/>
        <v>8.1066000000000003</v>
      </c>
      <c r="BN13" s="29">
        <f>'Tabel Offset'!M14</f>
        <v>8.1149000000000004</v>
      </c>
      <c r="BO13" s="42">
        <f t="shared" si="33"/>
        <v>32.459600000000002</v>
      </c>
      <c r="BP13" s="29">
        <f>'Tabel Offset'!N14</f>
        <v>8.1196000000000002</v>
      </c>
      <c r="BQ13" s="39">
        <f t="shared" si="34"/>
        <v>8.1196000000000002</v>
      </c>
      <c r="BR13" s="53">
        <f t="shared" si="35"/>
        <v>48.6858</v>
      </c>
      <c r="BS13" s="56">
        <f t="shared" si="36"/>
        <v>16.2286</v>
      </c>
      <c r="BT13" s="59">
        <f t="shared" si="37"/>
        <v>76.180733333333336</v>
      </c>
      <c r="BV13" s="44">
        <f>'Tabel Offset'!$A14</f>
        <v>5</v>
      </c>
      <c r="BW13" s="47">
        <f>IF(BV13="AP",0,IF(BV13="FP",'Tabel Offset'!$AA$4,BV13/20*'Tabel Offset'!$AA$4))</f>
        <v>23.767499999999998</v>
      </c>
      <c r="BX13" s="29">
        <f>'Tabel Offset'!N14</f>
        <v>8.1196000000000002</v>
      </c>
      <c r="BY13" s="42">
        <f t="shared" si="38"/>
        <v>8.1196000000000002</v>
      </c>
      <c r="BZ13" s="29">
        <f>'Tabel Offset'!O14</f>
        <v>8.1232000000000006</v>
      </c>
      <c r="CA13" s="42">
        <f t="shared" si="39"/>
        <v>32.492800000000003</v>
      </c>
      <c r="CB13" s="31">
        <f>'Tabel Offset'!P14</f>
        <v>8.1263000000000005</v>
      </c>
      <c r="CC13" s="39">
        <f t="shared" si="40"/>
        <v>8.1263000000000005</v>
      </c>
      <c r="CD13" s="53">
        <f t="shared" si="41"/>
        <v>48.738700000000001</v>
      </c>
      <c r="CE13" s="56">
        <f t="shared" si="42"/>
        <v>16.246233333333333</v>
      </c>
      <c r="CF13" s="59">
        <f t="shared" si="43"/>
        <v>92.426966666666672</v>
      </c>
      <c r="CH13" s="44">
        <f>'Tabel Offset'!$A14</f>
        <v>5</v>
      </c>
      <c r="CI13" s="47">
        <f>IF(CH13="AP",0,IF(CH13="FP",'Tabel Offset'!$AA$4,CH13/20*'Tabel Offset'!$AA$4))</f>
        <v>23.767499999999998</v>
      </c>
      <c r="CJ13" s="31">
        <f>'Tabel Offset'!P14</f>
        <v>8.1263000000000005</v>
      </c>
      <c r="CK13" s="42">
        <f t="shared" si="44"/>
        <v>8.1263000000000005</v>
      </c>
      <c r="CL13" s="31">
        <f>'Tabel Offset'!Q14</f>
        <v>8.1275999999999993</v>
      </c>
      <c r="CM13" s="42">
        <f t="shared" si="45"/>
        <v>32.510399999999997</v>
      </c>
      <c r="CN13" s="31">
        <f>'Tabel Offset'!R14</f>
        <v>8.1288999999999998</v>
      </c>
      <c r="CO13" s="39">
        <f t="shared" si="46"/>
        <v>8.1288999999999998</v>
      </c>
      <c r="CP13" s="53">
        <f t="shared" si="47"/>
        <v>48.765599999999999</v>
      </c>
      <c r="CQ13" s="56">
        <f t="shared" si="48"/>
        <v>8.1275999999999993</v>
      </c>
      <c r="CR13" s="59">
        <f t="shared" si="49"/>
        <v>100.55456666666667</v>
      </c>
      <c r="CT13" s="44">
        <f>'Tabel Offset'!$A14</f>
        <v>5</v>
      </c>
      <c r="CU13" s="47">
        <f>IF(CT13="AP",0,IF(CT13="FP",'Tabel Offset'!$AA$4,CT13/20*'Tabel Offset'!$AA$4))</f>
        <v>23.767499999999998</v>
      </c>
      <c r="CV13" s="31">
        <f>'Tabel Offset'!R14</f>
        <v>8.1288999999999998</v>
      </c>
      <c r="CW13" s="42">
        <f t="shared" si="117"/>
        <v>8.1288999999999998</v>
      </c>
      <c r="CX13" s="31">
        <f>'Tabel Offset'!S14</f>
        <v>8.1304999999999996</v>
      </c>
      <c r="CY13" s="42">
        <f t="shared" si="118"/>
        <v>32.521999999999998</v>
      </c>
      <c r="CZ13" s="31">
        <f>'Tabel Offset'!T14</f>
        <v>8.1318999999999999</v>
      </c>
      <c r="DA13" s="39">
        <f t="shared" si="119"/>
        <v>8.1318999999999999</v>
      </c>
      <c r="DB13" s="53">
        <f t="shared" si="120"/>
        <v>48.782800000000002</v>
      </c>
      <c r="DC13" s="56">
        <f t="shared" si="121"/>
        <v>11.382653333333337</v>
      </c>
      <c r="DD13" s="59">
        <f t="shared" si="122"/>
        <v>111.93722000000001</v>
      </c>
      <c r="DF13" s="44">
        <f>'Tabel Offset'!$A14</f>
        <v>5</v>
      </c>
      <c r="DG13" s="47">
        <f>IF(DF13="AP",0,IF(DF13="FP",'Tabel Offset'!$AA$4,DF13/20*'Tabel Offset'!$AA$4))</f>
        <v>23.767499999999998</v>
      </c>
      <c r="DH13" s="31">
        <f>'Tabel Offset'!T14</f>
        <v>8.1318999999999999</v>
      </c>
      <c r="DI13" s="42">
        <f t="shared" si="123"/>
        <v>8.1318999999999999</v>
      </c>
      <c r="DJ13" s="31">
        <f>'Tabel Offset'!U14</f>
        <v>8.1332000000000004</v>
      </c>
      <c r="DK13" s="42">
        <f t="shared" si="124"/>
        <v>32.532800000000002</v>
      </c>
      <c r="DL13" s="31">
        <f>'Tabel Offset'!V14</f>
        <v>8.1342999999999996</v>
      </c>
      <c r="DM13" s="39">
        <f t="shared" si="125"/>
        <v>8.1342999999999996</v>
      </c>
      <c r="DN13" s="53">
        <f t="shared" si="126"/>
        <v>48.799000000000007</v>
      </c>
      <c r="DO13" s="56">
        <f t="shared" si="127"/>
        <v>11.386433333333338</v>
      </c>
      <c r="DP13" s="59">
        <f t="shared" si="128"/>
        <v>123.32365333333335</v>
      </c>
      <c r="DR13" s="44">
        <f>'Tabel Offset'!$A14</f>
        <v>5</v>
      </c>
      <c r="DS13" s="47">
        <f>IF(DR13="AP",0,IF(DR13="FP",'Tabel Offset'!$AA$4,DR13/20*'Tabel Offset'!$AA$4))</f>
        <v>23.767499999999998</v>
      </c>
      <c r="DT13" s="31">
        <f>'Tabel Offset'!V14</f>
        <v>8.1342999999999996</v>
      </c>
      <c r="DU13" s="42">
        <f t="shared" si="129"/>
        <v>8.1342999999999996</v>
      </c>
      <c r="DV13" s="74">
        <v>8.1346000000000007</v>
      </c>
      <c r="DW13" s="42">
        <f t="shared" si="130"/>
        <v>32.538400000000003</v>
      </c>
      <c r="DX13" s="77">
        <f t="shared" si="131"/>
        <v>8.0367999999999995</v>
      </c>
      <c r="DY13" s="74">
        <v>7.07</v>
      </c>
      <c r="DZ13" s="39">
        <f t="shared" si="0"/>
        <v>7.07</v>
      </c>
      <c r="EA13" s="74">
        <v>8.1736000000000004</v>
      </c>
      <c r="EB13" s="53">
        <f t="shared" si="1"/>
        <v>47.742700000000006</v>
      </c>
      <c r="EC13" s="56">
        <f t="shared" si="132"/>
        <v>4.3541342400000014</v>
      </c>
      <c r="ED13" s="59">
        <f t="shared" si="68"/>
        <v>127.67778757333336</v>
      </c>
    </row>
    <row r="14" spans="1:134" ht="14.4" thickBot="1" x14ac:dyDescent="0.35">
      <c r="A14" s="24"/>
      <c r="B14" s="130">
        <f>'Tabel Offset'!$A15</f>
        <v>6</v>
      </c>
      <c r="C14" s="47">
        <f>IF(B14="AP",0,IF(B14="FP",'Tabel Offset'!$AA$4,B14/20*'Tabel Offset'!$AA$4))</f>
        <v>28.520999999999997</v>
      </c>
      <c r="D14" s="50">
        <f>'Tabel Offset'!B15</f>
        <v>2.9790000000000001</v>
      </c>
      <c r="E14" s="47">
        <f t="shared" si="2"/>
        <v>2.9790000000000001</v>
      </c>
      <c r="F14" s="50">
        <f>'Tabel Offset'!C15</f>
        <v>7.4683000000000002</v>
      </c>
      <c r="G14" s="88">
        <f t="shared" si="3"/>
        <v>29.873200000000001</v>
      </c>
      <c r="H14" s="29">
        <f>'Tabel Offset'!D15</f>
        <v>7.7649999999999997</v>
      </c>
      <c r="I14" s="39">
        <f t="shared" si="4"/>
        <v>7.7649999999999997</v>
      </c>
      <c r="J14" s="53">
        <f t="shared" si="5"/>
        <v>40.617200000000004</v>
      </c>
      <c r="K14" s="56">
        <f t="shared" si="6"/>
        <v>6.7695333333333334</v>
      </c>
      <c r="L14" s="58">
        <f t="shared" si="7"/>
        <v>6.7695333333333334</v>
      </c>
      <c r="N14" s="32">
        <f>'Tabel Offset'!$A15</f>
        <v>6</v>
      </c>
      <c r="O14" s="47">
        <f>IF(N14="AP",0,IF(N14="FP",'Tabel Offset'!$AA$4,N14/20*'Tabel Offset'!$AA$4))</f>
        <v>28.520999999999997</v>
      </c>
      <c r="P14" s="29">
        <f>'Tabel Offset'!D15</f>
        <v>7.7649999999999997</v>
      </c>
      <c r="Q14" s="42">
        <f t="shared" si="111"/>
        <v>7.7649999999999997</v>
      </c>
      <c r="R14" s="29">
        <f>'Tabel Offset'!E15</f>
        <v>7.9116</v>
      </c>
      <c r="S14" s="42">
        <f t="shared" si="112"/>
        <v>31.6464</v>
      </c>
      <c r="T14" s="29">
        <f>'Tabel Offset'!F15</f>
        <v>8.0007999999999999</v>
      </c>
      <c r="U14" s="39">
        <f t="shared" si="113"/>
        <v>8.0007999999999999</v>
      </c>
      <c r="V14" s="53">
        <f t="shared" si="114"/>
        <v>47.412199999999999</v>
      </c>
      <c r="W14" s="56">
        <f t="shared" si="115"/>
        <v>7.9020333333333328</v>
      </c>
      <c r="X14" s="59">
        <f t="shared" si="116"/>
        <v>14.671566666666667</v>
      </c>
      <c r="Z14" s="32">
        <f>'Tabel Offset'!$A15</f>
        <v>6</v>
      </c>
      <c r="AA14" s="47">
        <f>IF(Z14="AP",0,IF(Z14="FP",'Tabel Offset'!$AA$4,Z14/20*'Tabel Offset'!$AA$4))</f>
        <v>28.520999999999997</v>
      </c>
      <c r="AB14" s="29">
        <f>'Tabel Offset'!F15</f>
        <v>8.0007999999999999</v>
      </c>
      <c r="AC14" s="42">
        <f t="shared" si="14"/>
        <v>8.0007999999999999</v>
      </c>
      <c r="AD14" s="29">
        <f>'Tabel Offset'!G15</f>
        <v>8.0995000000000008</v>
      </c>
      <c r="AE14" s="42">
        <f t="shared" si="15"/>
        <v>32.398000000000003</v>
      </c>
      <c r="AF14" s="29">
        <f>'Tabel Offset'!H15</f>
        <v>8.1225000000000005</v>
      </c>
      <c r="AG14" s="39">
        <f t="shared" si="16"/>
        <v>8.1225000000000005</v>
      </c>
      <c r="AH14" s="53">
        <f t="shared" si="17"/>
        <v>48.521300000000004</v>
      </c>
      <c r="AI14" s="56">
        <f t="shared" si="18"/>
        <v>16.173766666666666</v>
      </c>
      <c r="AJ14" s="59">
        <f t="shared" si="19"/>
        <v>30.845333333333333</v>
      </c>
      <c r="AL14" s="32">
        <f>'Tabel Offset'!$A15</f>
        <v>6</v>
      </c>
      <c r="AM14" s="47">
        <f>IF(AL14="AP",0,IF(AL14="FP",'Tabel Offset'!$AA$4,AL14/20*'Tabel Offset'!$AA$4))</f>
        <v>28.520999999999997</v>
      </c>
      <c r="AN14" s="29">
        <f>'Tabel Offset'!H15</f>
        <v>8.1225000000000005</v>
      </c>
      <c r="AO14" s="42">
        <f t="shared" si="20"/>
        <v>8.1225000000000005</v>
      </c>
      <c r="AP14" s="90">
        <f>'Tabel Offset'!I15</f>
        <v>8.1308000000000007</v>
      </c>
      <c r="AQ14" s="42">
        <f t="shared" si="21"/>
        <v>32.523200000000003</v>
      </c>
      <c r="AR14" s="29">
        <f>'Tabel Offset'!J14</f>
        <v>8.0663999999999998</v>
      </c>
      <c r="AS14" s="39">
        <f t="shared" si="22"/>
        <v>8.0663999999999998</v>
      </c>
      <c r="AT14" s="53">
        <f t="shared" si="23"/>
        <v>48.712100000000007</v>
      </c>
      <c r="AU14" s="56">
        <f t="shared" si="24"/>
        <v>16.237366666666667</v>
      </c>
      <c r="AV14" s="59">
        <f t="shared" si="25"/>
        <v>47.082700000000003</v>
      </c>
      <c r="AX14" s="44">
        <f>'Tabel Offset'!$A15</f>
        <v>6</v>
      </c>
      <c r="AY14" s="47">
        <f>IF(AX14="AP",0,IF(AX14="FP",'Tabel Offset'!$AA$4,AX14/20*'Tabel Offset'!$AA$4))</f>
        <v>28.520999999999997</v>
      </c>
      <c r="AZ14" s="29">
        <f>'Tabel Offset'!J15</f>
        <v>8.1437000000000008</v>
      </c>
      <c r="BA14" s="42">
        <f t="shared" si="26"/>
        <v>8.1437000000000008</v>
      </c>
      <c r="BB14" s="29">
        <f>'Tabel Offset'!K15</f>
        <v>8.1405999999999992</v>
      </c>
      <c r="BC14" s="42">
        <f t="shared" si="27"/>
        <v>32.562399999999997</v>
      </c>
      <c r="BD14" s="29">
        <f>'Tabel Offset'!L15</f>
        <v>8.1418999999999997</v>
      </c>
      <c r="BE14" s="39">
        <f t="shared" si="28"/>
        <v>8.1418999999999997</v>
      </c>
      <c r="BF14" s="53">
        <f t="shared" si="29"/>
        <v>48.847999999999999</v>
      </c>
      <c r="BG14" s="56">
        <f t="shared" si="30"/>
        <v>16.282666666666664</v>
      </c>
      <c r="BH14" s="59">
        <f t="shared" si="31"/>
        <v>63.365366666666667</v>
      </c>
      <c r="BJ14" s="44">
        <f>'Tabel Offset'!$A15</f>
        <v>6</v>
      </c>
      <c r="BK14" s="47">
        <f>IF(BJ14="AP",0,IF(BJ14="FP",'Tabel Offset'!$AA$4,BJ14/20*'Tabel Offset'!$AA$4))</f>
        <v>28.520999999999997</v>
      </c>
      <c r="BL14" s="29">
        <f>'Tabel Offset'!L15</f>
        <v>8.1418999999999997</v>
      </c>
      <c r="BM14" s="42">
        <f t="shared" si="32"/>
        <v>8.1418999999999997</v>
      </c>
      <c r="BN14" s="29">
        <f>'Tabel Offset'!M15</f>
        <v>8.1425999999999998</v>
      </c>
      <c r="BO14" s="42">
        <f t="shared" si="33"/>
        <v>32.570399999999999</v>
      </c>
      <c r="BP14" s="29">
        <f>'Tabel Offset'!N15</f>
        <v>8.1431000000000004</v>
      </c>
      <c r="BQ14" s="39">
        <f t="shared" si="34"/>
        <v>8.1431000000000004</v>
      </c>
      <c r="BR14" s="53">
        <f t="shared" si="35"/>
        <v>48.855400000000003</v>
      </c>
      <c r="BS14" s="56">
        <f t="shared" si="36"/>
        <v>16.285133333333334</v>
      </c>
      <c r="BT14" s="59">
        <f t="shared" si="37"/>
        <v>79.650499999999994</v>
      </c>
      <c r="BV14" s="44">
        <f>'Tabel Offset'!$A15</f>
        <v>6</v>
      </c>
      <c r="BW14" s="47">
        <f>IF(BV14="AP",0,IF(BV14="FP",'Tabel Offset'!$AA$4,BV14/20*'Tabel Offset'!$AA$4))</f>
        <v>28.520999999999997</v>
      </c>
      <c r="BX14" s="29">
        <f>'Tabel Offset'!N15</f>
        <v>8.1431000000000004</v>
      </c>
      <c r="BY14" s="42">
        <f t="shared" si="38"/>
        <v>8.1431000000000004</v>
      </c>
      <c r="BZ14" s="29">
        <f>'Tabel Offset'!O15</f>
        <v>8.1433999999999997</v>
      </c>
      <c r="CA14" s="42">
        <f t="shared" si="39"/>
        <v>32.573599999999999</v>
      </c>
      <c r="CB14" s="31">
        <f>'Tabel Offset'!P15</f>
        <v>8.1438000000000006</v>
      </c>
      <c r="CC14" s="39">
        <f t="shared" si="40"/>
        <v>8.1438000000000006</v>
      </c>
      <c r="CD14" s="53">
        <f t="shared" si="41"/>
        <v>48.860500000000002</v>
      </c>
      <c r="CE14" s="56">
        <f t="shared" si="42"/>
        <v>16.286833333333334</v>
      </c>
      <c r="CF14" s="59">
        <f t="shared" si="43"/>
        <v>95.937333333333328</v>
      </c>
      <c r="CH14" s="44">
        <f>'Tabel Offset'!$A15</f>
        <v>6</v>
      </c>
      <c r="CI14" s="47">
        <f>IF(CH14="AP",0,IF(CH14="FP",'Tabel Offset'!$AA$4,CH14/20*'Tabel Offset'!$AA$4))</f>
        <v>28.520999999999997</v>
      </c>
      <c r="CJ14" s="31">
        <f>'Tabel Offset'!P15</f>
        <v>8.1438000000000006</v>
      </c>
      <c r="CK14" s="42">
        <f t="shared" si="44"/>
        <v>8.1438000000000006</v>
      </c>
      <c r="CL14" s="31">
        <f>'Tabel Offset'!Q15</f>
        <v>8.1440000000000001</v>
      </c>
      <c r="CM14" s="42">
        <f t="shared" si="45"/>
        <v>32.576000000000001</v>
      </c>
      <c r="CN14" s="31">
        <f>'Tabel Offset'!R15</f>
        <v>8.1440000000000001</v>
      </c>
      <c r="CO14" s="39">
        <f t="shared" si="46"/>
        <v>8.1440000000000001</v>
      </c>
      <c r="CP14" s="53">
        <f t="shared" si="47"/>
        <v>48.863799999999998</v>
      </c>
      <c r="CQ14" s="56">
        <f t="shared" si="48"/>
        <v>8.1439666666666657</v>
      </c>
      <c r="CR14" s="59">
        <f t="shared" si="49"/>
        <v>104.0813</v>
      </c>
      <c r="CT14" s="44">
        <f>'Tabel Offset'!$A15</f>
        <v>6</v>
      </c>
      <c r="CU14" s="47">
        <f>IF(CT14="AP",0,IF(CT14="FP",'Tabel Offset'!$AA$4,CT14/20*'Tabel Offset'!$AA$4))</f>
        <v>28.520999999999997</v>
      </c>
      <c r="CV14" s="31">
        <f>'Tabel Offset'!R15</f>
        <v>8.1440000000000001</v>
      </c>
      <c r="CW14" s="42">
        <f t="shared" si="117"/>
        <v>8.1440000000000001</v>
      </c>
      <c r="CX14" s="31">
        <f>'Tabel Offset'!S15</f>
        <v>8.1440000000000001</v>
      </c>
      <c r="CY14" s="42">
        <f t="shared" si="118"/>
        <v>32.576000000000001</v>
      </c>
      <c r="CZ14" s="31">
        <f>'Tabel Offset'!T15</f>
        <v>8.1440000000000001</v>
      </c>
      <c r="DA14" s="39">
        <f t="shared" si="119"/>
        <v>8.1440000000000001</v>
      </c>
      <c r="DB14" s="53">
        <f t="shared" si="120"/>
        <v>48.863999999999997</v>
      </c>
      <c r="DC14" s="56">
        <f t="shared" si="121"/>
        <v>11.401600000000002</v>
      </c>
      <c r="DD14" s="59">
        <f t="shared" si="122"/>
        <v>115.4829</v>
      </c>
      <c r="DF14" s="44">
        <f>'Tabel Offset'!$A15</f>
        <v>6</v>
      </c>
      <c r="DG14" s="47">
        <f>IF(DF14="AP",0,IF(DF14="FP",'Tabel Offset'!$AA$4,DF14/20*'Tabel Offset'!$AA$4))</f>
        <v>28.520999999999997</v>
      </c>
      <c r="DH14" s="31">
        <f>'Tabel Offset'!T15</f>
        <v>8.1440000000000001</v>
      </c>
      <c r="DI14" s="42">
        <f t="shared" si="123"/>
        <v>8.1440000000000001</v>
      </c>
      <c r="DJ14" s="31">
        <f>'Tabel Offset'!U15</f>
        <v>8.1440000000000001</v>
      </c>
      <c r="DK14" s="42">
        <f t="shared" si="124"/>
        <v>32.576000000000001</v>
      </c>
      <c r="DL14" s="31">
        <f>'Tabel Offset'!V15</f>
        <v>8.1440000000000001</v>
      </c>
      <c r="DM14" s="39">
        <f t="shared" si="125"/>
        <v>8.1440000000000001</v>
      </c>
      <c r="DN14" s="53">
        <f t="shared" si="126"/>
        <v>48.863999999999997</v>
      </c>
      <c r="DO14" s="56">
        <f t="shared" si="127"/>
        <v>11.401600000000002</v>
      </c>
      <c r="DP14" s="59">
        <f t="shared" si="128"/>
        <v>126.8845</v>
      </c>
      <c r="DR14" s="44">
        <f>'Tabel Offset'!$A15</f>
        <v>6</v>
      </c>
      <c r="DS14" s="47">
        <f>IF(DR14="AP",0,IF(DR14="FP",'Tabel Offset'!$AA$4,DR14/20*'Tabel Offset'!$AA$4))</f>
        <v>28.520999999999997</v>
      </c>
      <c r="DT14" s="31">
        <f>'Tabel Offset'!V15</f>
        <v>8.1440000000000001</v>
      </c>
      <c r="DU14" s="42">
        <f t="shared" si="129"/>
        <v>8.1440000000000001</v>
      </c>
      <c r="DV14" s="74">
        <v>8.1440000000000001</v>
      </c>
      <c r="DW14" s="42">
        <f t="shared" si="130"/>
        <v>32.576000000000001</v>
      </c>
      <c r="DX14" s="77">
        <f t="shared" si="131"/>
        <v>7.9854000000000003</v>
      </c>
      <c r="DY14" s="74">
        <v>7.1180000000000003</v>
      </c>
      <c r="DZ14" s="39">
        <f t="shared" si="0"/>
        <v>7.1180000000000003</v>
      </c>
      <c r="EA14" s="74">
        <v>8.0708000000000002</v>
      </c>
      <c r="EB14" s="53">
        <f t="shared" si="1"/>
        <v>47.838000000000001</v>
      </c>
      <c r="EC14" s="56">
        <f t="shared" si="132"/>
        <v>2.7235767999999974</v>
      </c>
      <c r="ED14" s="59">
        <f t="shared" si="68"/>
        <v>129.60807679999999</v>
      </c>
    </row>
    <row r="15" spans="1:134" ht="14.4" thickBot="1" x14ac:dyDescent="0.35">
      <c r="A15" s="23"/>
      <c r="B15" s="130">
        <f>'Tabel Offset'!$A16</f>
        <v>7</v>
      </c>
      <c r="C15" s="47">
        <f>IF(B15="AP",0,IF(B15="FP",'Tabel Offset'!$AA$4,B15/20*'Tabel Offset'!$AA$4))</f>
        <v>33.274499999999996</v>
      </c>
      <c r="D15" s="50">
        <f>'Tabel Offset'!B16</f>
        <v>6.5716000000000001</v>
      </c>
      <c r="E15" s="47">
        <f t="shared" si="2"/>
        <v>6.5716000000000001</v>
      </c>
      <c r="F15" s="50">
        <f>'Tabel Offset'!C16</f>
        <v>7.8266</v>
      </c>
      <c r="G15" s="88">
        <f t="shared" si="3"/>
        <v>31.3064</v>
      </c>
      <c r="H15" s="29">
        <f>'Tabel Offset'!D16</f>
        <v>8.0091999999999999</v>
      </c>
      <c r="I15" s="39">
        <f t="shared" si="4"/>
        <v>8.0091999999999999</v>
      </c>
      <c r="J15" s="53">
        <f t="shared" si="5"/>
        <v>45.8872</v>
      </c>
      <c r="K15" s="56">
        <f t="shared" si="6"/>
        <v>7.6478666666666664</v>
      </c>
      <c r="L15" s="58">
        <f t="shared" si="7"/>
        <v>7.6478666666666664</v>
      </c>
      <c r="N15" s="32">
        <f>'Tabel Offset'!$A16</f>
        <v>7</v>
      </c>
      <c r="O15" s="47">
        <f>IF(N15="AP",0,IF(N15="FP",'Tabel Offset'!$AA$4,N15/20*'Tabel Offset'!$AA$4))</f>
        <v>33.274499999999996</v>
      </c>
      <c r="P15" s="29">
        <f>'Tabel Offset'!D15</f>
        <v>7.7649999999999997</v>
      </c>
      <c r="Q15" s="42">
        <f t="shared" si="111"/>
        <v>7.7649999999999997</v>
      </c>
      <c r="R15" s="29">
        <f>'Tabel Offset'!E16</f>
        <v>8.0868000000000002</v>
      </c>
      <c r="S15" s="42">
        <f t="shared" si="112"/>
        <v>32.347200000000001</v>
      </c>
      <c r="T15" s="29">
        <f>'Tabel Offset'!F16</f>
        <v>8.1173000000000002</v>
      </c>
      <c r="U15" s="39">
        <f t="shared" si="113"/>
        <v>8.1173000000000002</v>
      </c>
      <c r="V15" s="53">
        <f t="shared" si="114"/>
        <v>48.229500000000002</v>
      </c>
      <c r="W15" s="56">
        <f t="shared" si="115"/>
        <v>8.0382499999999997</v>
      </c>
      <c r="X15" s="59">
        <f t="shared" si="116"/>
        <v>15.686116666666667</v>
      </c>
      <c r="Z15" s="32">
        <f>'Tabel Offset'!$A16</f>
        <v>7</v>
      </c>
      <c r="AA15" s="47">
        <f>IF(Z15="AP",0,IF(Z15="FP",'Tabel Offset'!$AA$4,Z15/20*'Tabel Offset'!$AA$4))</f>
        <v>33.274499999999996</v>
      </c>
      <c r="AB15" s="29">
        <f>'Tabel Offset'!F16</f>
        <v>8.1173000000000002</v>
      </c>
      <c r="AC15" s="42">
        <f t="shared" si="14"/>
        <v>8.1173000000000002</v>
      </c>
      <c r="AD15" s="29">
        <f>'Tabel Offset'!G16</f>
        <v>8.1321999999999992</v>
      </c>
      <c r="AE15" s="42">
        <f t="shared" si="15"/>
        <v>32.528799999999997</v>
      </c>
      <c r="AF15" s="29">
        <f>'Tabel Offset'!H16</f>
        <v>8.1382999999999992</v>
      </c>
      <c r="AG15" s="39">
        <f t="shared" si="16"/>
        <v>8.1382999999999992</v>
      </c>
      <c r="AH15" s="53">
        <f t="shared" si="17"/>
        <v>48.784399999999998</v>
      </c>
      <c r="AI15" s="56">
        <f t="shared" si="18"/>
        <v>16.261466666666664</v>
      </c>
      <c r="AJ15" s="59">
        <f t="shared" si="19"/>
        <v>31.947583333333331</v>
      </c>
      <c r="AL15" s="32">
        <f>'Tabel Offset'!$A16</f>
        <v>7</v>
      </c>
      <c r="AM15" s="47">
        <f>IF(AL15="AP",0,IF(AL15="FP",'Tabel Offset'!$AA$4,AL15/20*'Tabel Offset'!$AA$4))</f>
        <v>33.274499999999996</v>
      </c>
      <c r="AN15" s="29">
        <f>'Tabel Offset'!H16</f>
        <v>8.1382999999999992</v>
      </c>
      <c r="AO15" s="42">
        <f t="shared" si="20"/>
        <v>8.1382999999999992</v>
      </c>
      <c r="AP15" s="90">
        <f>'Tabel Offset'!I16</f>
        <v>8.1420999999999992</v>
      </c>
      <c r="AQ15" s="42">
        <f t="shared" si="21"/>
        <v>32.568399999999997</v>
      </c>
      <c r="AR15" s="29">
        <f>'Tabel Offset'!J15</f>
        <v>8.1437000000000008</v>
      </c>
      <c r="AS15" s="39">
        <f t="shared" si="22"/>
        <v>8.1437000000000008</v>
      </c>
      <c r="AT15" s="53">
        <f t="shared" si="23"/>
        <v>48.8504</v>
      </c>
      <c r="AU15" s="56">
        <f t="shared" si="24"/>
        <v>16.283466666666666</v>
      </c>
      <c r="AV15" s="59">
        <f t="shared" si="25"/>
        <v>48.231049999999996</v>
      </c>
      <c r="AX15" s="44">
        <f>'Tabel Offset'!$A16</f>
        <v>7</v>
      </c>
      <c r="AY15" s="47">
        <f>IF(AX15="AP",0,IF(AX15="FP",'Tabel Offset'!$AA$4,AX15/20*'Tabel Offset'!$AA$4))</f>
        <v>33.274499999999996</v>
      </c>
      <c r="AZ15" s="29">
        <f>'Tabel Offset'!J16</f>
        <v>8.1440000000000001</v>
      </c>
      <c r="BA15" s="42">
        <f t="shared" si="26"/>
        <v>8.1440000000000001</v>
      </c>
      <c r="BB15" s="29">
        <f>'Tabel Offset'!K16</f>
        <v>8.1440000000000001</v>
      </c>
      <c r="BC15" s="42">
        <f t="shared" si="27"/>
        <v>32.576000000000001</v>
      </c>
      <c r="BD15" s="29">
        <f>'Tabel Offset'!L16</f>
        <v>8.1440000000000001</v>
      </c>
      <c r="BE15" s="39">
        <f t="shared" si="28"/>
        <v>8.1440000000000001</v>
      </c>
      <c r="BF15" s="53">
        <f t="shared" si="29"/>
        <v>48.863999999999997</v>
      </c>
      <c r="BG15" s="56">
        <f t="shared" si="30"/>
        <v>16.287999999999997</v>
      </c>
      <c r="BH15" s="59">
        <f t="shared" si="31"/>
        <v>64.519049999999993</v>
      </c>
      <c r="BJ15" s="44">
        <f>'Tabel Offset'!$A16</f>
        <v>7</v>
      </c>
      <c r="BK15" s="47">
        <f>IF(BJ15="AP",0,IF(BJ15="FP",'Tabel Offset'!$AA$4,BJ15/20*'Tabel Offset'!$AA$4))</f>
        <v>33.274499999999996</v>
      </c>
      <c r="BL15" s="29">
        <f>'Tabel Offset'!L16</f>
        <v>8.1440000000000001</v>
      </c>
      <c r="BM15" s="42">
        <f t="shared" si="32"/>
        <v>8.1440000000000001</v>
      </c>
      <c r="BN15" s="29">
        <f>'Tabel Offset'!M16</f>
        <v>8.1440000000000001</v>
      </c>
      <c r="BO15" s="42">
        <f t="shared" si="33"/>
        <v>32.576000000000001</v>
      </c>
      <c r="BP15" s="29">
        <f>'Tabel Offset'!N16</f>
        <v>8.1440000000000001</v>
      </c>
      <c r="BQ15" s="39">
        <f t="shared" si="34"/>
        <v>8.1440000000000001</v>
      </c>
      <c r="BR15" s="53">
        <f t="shared" si="35"/>
        <v>48.863999999999997</v>
      </c>
      <c r="BS15" s="56">
        <f t="shared" si="36"/>
        <v>16.287999999999997</v>
      </c>
      <c r="BT15" s="59">
        <f t="shared" si="37"/>
        <v>80.80704999999999</v>
      </c>
      <c r="BV15" s="44">
        <f>'Tabel Offset'!$A16</f>
        <v>7</v>
      </c>
      <c r="BW15" s="47">
        <f>IF(BV15="AP",0,IF(BV15="FP",'Tabel Offset'!$AA$4,BV15/20*'Tabel Offset'!$AA$4))</f>
        <v>33.274499999999996</v>
      </c>
      <c r="BX15" s="29">
        <f>'Tabel Offset'!N16</f>
        <v>8.1440000000000001</v>
      </c>
      <c r="BY15" s="42">
        <f t="shared" si="38"/>
        <v>8.1440000000000001</v>
      </c>
      <c r="BZ15" s="29">
        <f>'Tabel Offset'!O16</f>
        <v>8.1440000000000001</v>
      </c>
      <c r="CA15" s="42">
        <f t="shared" si="39"/>
        <v>32.576000000000001</v>
      </c>
      <c r="CB15" s="31">
        <f>'Tabel Offset'!P16</f>
        <v>8.1440000000000001</v>
      </c>
      <c r="CC15" s="39">
        <f t="shared" si="40"/>
        <v>8.1440000000000001</v>
      </c>
      <c r="CD15" s="53">
        <f t="shared" si="41"/>
        <v>48.863999999999997</v>
      </c>
      <c r="CE15" s="56">
        <f t="shared" si="42"/>
        <v>16.287999999999997</v>
      </c>
      <c r="CF15" s="59">
        <f t="shared" si="43"/>
        <v>97.095049999999986</v>
      </c>
      <c r="CH15" s="44">
        <f>'Tabel Offset'!$A16</f>
        <v>7</v>
      </c>
      <c r="CI15" s="47">
        <f>IF(CH15="AP",0,IF(CH15="FP",'Tabel Offset'!$AA$4,CH15/20*'Tabel Offset'!$AA$4))</f>
        <v>33.274499999999996</v>
      </c>
      <c r="CJ15" s="31">
        <f>'Tabel Offset'!P16</f>
        <v>8.1440000000000001</v>
      </c>
      <c r="CK15" s="42">
        <f t="shared" si="44"/>
        <v>8.1440000000000001</v>
      </c>
      <c r="CL15" s="31">
        <f>'Tabel Offset'!Q16</f>
        <v>8.1440000000000001</v>
      </c>
      <c r="CM15" s="42">
        <f t="shared" si="45"/>
        <v>32.576000000000001</v>
      </c>
      <c r="CN15" s="31">
        <f>'Tabel Offset'!R16</f>
        <v>8.1440000000000001</v>
      </c>
      <c r="CO15" s="39">
        <f t="shared" si="46"/>
        <v>8.1440000000000001</v>
      </c>
      <c r="CP15" s="53">
        <f t="shared" si="47"/>
        <v>48.863999999999997</v>
      </c>
      <c r="CQ15" s="56">
        <f t="shared" si="48"/>
        <v>8.1439999999999984</v>
      </c>
      <c r="CR15" s="59">
        <f t="shared" si="49"/>
        <v>105.23904999999999</v>
      </c>
      <c r="CT15" s="44">
        <f>'Tabel Offset'!$A16</f>
        <v>7</v>
      </c>
      <c r="CU15" s="47">
        <f>IF(CT15="AP",0,IF(CT15="FP",'Tabel Offset'!$AA$4,CT15/20*'Tabel Offset'!$AA$4))</f>
        <v>33.274499999999996</v>
      </c>
      <c r="CV15" s="31">
        <f>'Tabel Offset'!R16</f>
        <v>8.1440000000000001</v>
      </c>
      <c r="CW15" s="42">
        <f t="shared" si="117"/>
        <v>8.1440000000000001</v>
      </c>
      <c r="CX15" s="31">
        <f>'Tabel Offset'!S16</f>
        <v>8.1440000000000001</v>
      </c>
      <c r="CY15" s="42">
        <f t="shared" si="118"/>
        <v>32.576000000000001</v>
      </c>
      <c r="CZ15" s="31">
        <f>'Tabel Offset'!T16</f>
        <v>8.1440000000000001</v>
      </c>
      <c r="DA15" s="39">
        <f t="shared" si="119"/>
        <v>8.1440000000000001</v>
      </c>
      <c r="DB15" s="53">
        <f t="shared" si="120"/>
        <v>48.863999999999997</v>
      </c>
      <c r="DC15" s="56">
        <f t="shared" si="121"/>
        <v>11.401600000000002</v>
      </c>
      <c r="DD15" s="59">
        <f t="shared" si="122"/>
        <v>116.64064999999999</v>
      </c>
      <c r="DF15" s="44">
        <f>'Tabel Offset'!$A16</f>
        <v>7</v>
      </c>
      <c r="DG15" s="47">
        <f>IF(DF15="AP",0,IF(DF15="FP",'Tabel Offset'!$AA$4,DF15/20*'Tabel Offset'!$AA$4))</f>
        <v>33.274499999999996</v>
      </c>
      <c r="DH15" s="31">
        <f>'Tabel Offset'!T16</f>
        <v>8.1440000000000001</v>
      </c>
      <c r="DI15" s="42">
        <f t="shared" si="123"/>
        <v>8.1440000000000001</v>
      </c>
      <c r="DJ15" s="31">
        <f>'Tabel Offset'!U16</f>
        <v>8.1440000000000001</v>
      </c>
      <c r="DK15" s="42">
        <f t="shared" si="124"/>
        <v>32.576000000000001</v>
      </c>
      <c r="DL15" s="31">
        <f>'Tabel Offset'!V16</f>
        <v>8.1440000000000001</v>
      </c>
      <c r="DM15" s="39">
        <f t="shared" si="125"/>
        <v>8.1440000000000001</v>
      </c>
      <c r="DN15" s="53">
        <f t="shared" si="126"/>
        <v>48.863999999999997</v>
      </c>
      <c r="DO15" s="56">
        <f t="shared" si="127"/>
        <v>11.401600000000002</v>
      </c>
      <c r="DP15" s="59">
        <f t="shared" si="128"/>
        <v>128.04225</v>
      </c>
      <c r="DR15" s="44">
        <f>'Tabel Offset'!$A16</f>
        <v>7</v>
      </c>
      <c r="DS15" s="47">
        <f>IF(DR15="AP",0,IF(DR15="FP",'Tabel Offset'!$AA$4,DR15/20*'Tabel Offset'!$AA$4))</f>
        <v>33.274499999999996</v>
      </c>
      <c r="DT15" s="31">
        <f>'Tabel Offset'!V16</f>
        <v>8.1440000000000001</v>
      </c>
      <c r="DU15" s="42">
        <f t="shared" si="129"/>
        <v>8.1440000000000001</v>
      </c>
      <c r="DV15" s="74">
        <v>8.1440000000000001</v>
      </c>
      <c r="DW15" s="42">
        <f t="shared" si="130"/>
        <v>32.576000000000001</v>
      </c>
      <c r="DX15" s="77">
        <f t="shared" si="131"/>
        <v>7.9572000000000003</v>
      </c>
      <c r="DY15" s="74">
        <v>7.1669999999999998</v>
      </c>
      <c r="DZ15" s="39">
        <f t="shared" si="0"/>
        <v>7.1669999999999998</v>
      </c>
      <c r="EA15" s="74">
        <v>8.0144000000000002</v>
      </c>
      <c r="EB15" s="53">
        <f t="shared" si="1"/>
        <v>47.887</v>
      </c>
      <c r="EC15" s="56">
        <f t="shared" si="132"/>
        <v>1.8260909333333306</v>
      </c>
      <c r="ED15" s="59">
        <f t="shared" si="68"/>
        <v>129.86834093333331</v>
      </c>
    </row>
    <row r="16" spans="1:134" ht="14.4" thickBot="1" x14ac:dyDescent="0.35">
      <c r="A16" s="24"/>
      <c r="B16" s="130">
        <f>'Tabel Offset'!$A17</f>
        <v>8</v>
      </c>
      <c r="C16" s="47">
        <f>IF(B16="AP",0,IF(B16="FP",'Tabel Offset'!$AA$4,B16/20*'Tabel Offset'!$AA$4))</f>
        <v>38.027999999999999</v>
      </c>
      <c r="D16" s="50">
        <f>'Tabel Offset'!B17</f>
        <v>6.5716000000000001</v>
      </c>
      <c r="E16" s="47">
        <f t="shared" si="2"/>
        <v>6.5716000000000001</v>
      </c>
      <c r="F16" s="50">
        <f>'Tabel Offset'!C17</f>
        <v>8.1440000000000001</v>
      </c>
      <c r="G16" s="88">
        <f t="shared" si="3"/>
        <v>32.576000000000001</v>
      </c>
      <c r="H16" s="29">
        <f>'Tabel Offset'!D17</f>
        <v>8.1440000000000001</v>
      </c>
      <c r="I16" s="39">
        <f t="shared" si="4"/>
        <v>8.1440000000000001</v>
      </c>
      <c r="J16" s="53">
        <f t="shared" si="5"/>
        <v>47.291599999999995</v>
      </c>
      <c r="K16" s="56">
        <f t="shared" si="6"/>
        <v>7.8819333333333326</v>
      </c>
      <c r="L16" s="58">
        <f t="shared" si="7"/>
        <v>7.8819333333333326</v>
      </c>
      <c r="N16" s="32">
        <f>'Tabel Offset'!$A17</f>
        <v>8</v>
      </c>
      <c r="O16" s="47">
        <f>IF(N16="AP",0,IF(N16="FP",'Tabel Offset'!$AA$4,N16/20*'Tabel Offset'!$AA$4))</f>
        <v>38.027999999999999</v>
      </c>
      <c r="P16" s="29">
        <f>'Tabel Offset'!D17</f>
        <v>8.1440000000000001</v>
      </c>
      <c r="Q16" s="42">
        <f t="shared" si="111"/>
        <v>8.1440000000000001</v>
      </c>
      <c r="R16" s="29">
        <f>'Tabel Offset'!E17</f>
        <v>8.1440000000000001</v>
      </c>
      <c r="S16" s="42">
        <f t="shared" si="112"/>
        <v>32.576000000000001</v>
      </c>
      <c r="T16" s="29">
        <f>'Tabel Offset'!F17</f>
        <v>8.1440000000000001</v>
      </c>
      <c r="U16" s="39">
        <f t="shared" si="113"/>
        <v>8.1440000000000001</v>
      </c>
      <c r="V16" s="53">
        <f t="shared" si="114"/>
        <v>48.863999999999997</v>
      </c>
      <c r="W16" s="56">
        <f t="shared" si="115"/>
        <v>8.1439999999999984</v>
      </c>
      <c r="X16" s="59">
        <f t="shared" si="116"/>
        <v>16.025933333333331</v>
      </c>
      <c r="Z16" s="32">
        <f>'Tabel Offset'!$A17</f>
        <v>8</v>
      </c>
      <c r="AA16" s="47">
        <f>IF(Z16="AP",0,IF(Z16="FP",'Tabel Offset'!$AA$4,Z16/20*'Tabel Offset'!$AA$4))</f>
        <v>38.027999999999999</v>
      </c>
      <c r="AB16" s="29">
        <f>'Tabel Offset'!F17</f>
        <v>8.1440000000000001</v>
      </c>
      <c r="AC16" s="42">
        <f t="shared" si="14"/>
        <v>8.1440000000000001</v>
      </c>
      <c r="AD16" s="29">
        <f>'Tabel Offset'!G17</f>
        <v>8.1440000000000001</v>
      </c>
      <c r="AE16" s="42">
        <f t="shared" si="15"/>
        <v>32.576000000000001</v>
      </c>
      <c r="AF16" s="29">
        <f>'Tabel Offset'!H17</f>
        <v>8.1440000000000001</v>
      </c>
      <c r="AG16" s="39">
        <f t="shared" si="16"/>
        <v>8.1440000000000001</v>
      </c>
      <c r="AH16" s="53">
        <f t="shared" si="17"/>
        <v>48.863999999999997</v>
      </c>
      <c r="AI16" s="56">
        <f t="shared" si="18"/>
        <v>16.287999999999997</v>
      </c>
      <c r="AJ16" s="59">
        <f t="shared" si="19"/>
        <v>32.313933333333324</v>
      </c>
      <c r="AL16" s="32">
        <f>'Tabel Offset'!$A17</f>
        <v>8</v>
      </c>
      <c r="AM16" s="47">
        <f>IF(AL16="AP",0,IF(AL16="FP",'Tabel Offset'!$AA$4,AL16/20*'Tabel Offset'!$AA$4))</f>
        <v>38.027999999999999</v>
      </c>
      <c r="AN16" s="29">
        <f>'Tabel Offset'!H17</f>
        <v>8.1440000000000001</v>
      </c>
      <c r="AO16" s="42">
        <f t="shared" si="20"/>
        <v>8.1440000000000001</v>
      </c>
      <c r="AP16" s="90">
        <f>'Tabel Offset'!I17</f>
        <v>8.1440000000000001</v>
      </c>
      <c r="AQ16" s="42">
        <f t="shared" si="21"/>
        <v>32.576000000000001</v>
      </c>
      <c r="AR16" s="29">
        <f>'Tabel Offset'!J16</f>
        <v>8.1440000000000001</v>
      </c>
      <c r="AS16" s="39">
        <f t="shared" si="22"/>
        <v>8.1440000000000001</v>
      </c>
      <c r="AT16" s="53">
        <f t="shared" si="23"/>
        <v>48.863999999999997</v>
      </c>
      <c r="AU16" s="56">
        <f t="shared" si="24"/>
        <v>16.287999999999997</v>
      </c>
      <c r="AV16" s="59">
        <f t="shared" si="25"/>
        <v>48.601933333333321</v>
      </c>
      <c r="AX16" s="44">
        <f>'Tabel Offset'!$A17</f>
        <v>8</v>
      </c>
      <c r="AY16" s="47">
        <f>IF(AX16="AP",0,IF(AX16="FP",'Tabel Offset'!$AA$4,AX16/20*'Tabel Offset'!$AA$4))</f>
        <v>38.027999999999999</v>
      </c>
      <c r="AZ16" s="29">
        <f>'Tabel Offset'!J17</f>
        <v>8.1440000000000001</v>
      </c>
      <c r="BA16" s="42">
        <f t="shared" si="26"/>
        <v>8.1440000000000001</v>
      </c>
      <c r="BB16" s="29">
        <f>'Tabel Offset'!K17</f>
        <v>8.1440000000000001</v>
      </c>
      <c r="BC16" s="42">
        <f t="shared" si="27"/>
        <v>32.576000000000001</v>
      </c>
      <c r="BD16" s="29">
        <f>'Tabel Offset'!L17</f>
        <v>8.1440000000000001</v>
      </c>
      <c r="BE16" s="39">
        <f t="shared" si="28"/>
        <v>8.1440000000000001</v>
      </c>
      <c r="BF16" s="53">
        <f t="shared" si="29"/>
        <v>48.863999999999997</v>
      </c>
      <c r="BG16" s="56">
        <f t="shared" si="30"/>
        <v>16.287999999999997</v>
      </c>
      <c r="BH16" s="59">
        <f t="shared" si="31"/>
        <v>64.889933333333317</v>
      </c>
      <c r="BJ16" s="44">
        <f>'Tabel Offset'!$A17</f>
        <v>8</v>
      </c>
      <c r="BK16" s="47">
        <f>IF(BJ16="AP",0,IF(BJ16="FP",'Tabel Offset'!$AA$4,BJ16/20*'Tabel Offset'!$AA$4))</f>
        <v>38.027999999999999</v>
      </c>
      <c r="BL16" s="29">
        <f>'Tabel Offset'!L17</f>
        <v>8.1440000000000001</v>
      </c>
      <c r="BM16" s="42">
        <f t="shared" si="32"/>
        <v>8.1440000000000001</v>
      </c>
      <c r="BN16" s="29">
        <f>'Tabel Offset'!M17</f>
        <v>8.1440000000000001</v>
      </c>
      <c r="BO16" s="42">
        <f t="shared" si="33"/>
        <v>32.576000000000001</v>
      </c>
      <c r="BP16" s="29">
        <f>'Tabel Offset'!N17</f>
        <v>8.1440000000000001</v>
      </c>
      <c r="BQ16" s="39">
        <f t="shared" si="34"/>
        <v>8.1440000000000001</v>
      </c>
      <c r="BR16" s="53">
        <f t="shared" si="35"/>
        <v>48.863999999999997</v>
      </c>
      <c r="BS16" s="56">
        <f t="shared" si="36"/>
        <v>16.287999999999997</v>
      </c>
      <c r="BT16" s="59">
        <f t="shared" si="37"/>
        <v>81.177933333333314</v>
      </c>
      <c r="BV16" s="44">
        <f>'Tabel Offset'!$A17</f>
        <v>8</v>
      </c>
      <c r="BW16" s="47">
        <f>IF(BV16="AP",0,IF(BV16="FP",'Tabel Offset'!$AA$4,BV16/20*'Tabel Offset'!$AA$4))</f>
        <v>38.027999999999999</v>
      </c>
      <c r="BX16" s="29">
        <f>'Tabel Offset'!N17</f>
        <v>8.1440000000000001</v>
      </c>
      <c r="BY16" s="42">
        <f t="shared" si="38"/>
        <v>8.1440000000000001</v>
      </c>
      <c r="BZ16" s="29">
        <f>'Tabel Offset'!O17</f>
        <v>8.1440000000000001</v>
      </c>
      <c r="CA16" s="42">
        <f t="shared" si="39"/>
        <v>32.576000000000001</v>
      </c>
      <c r="CB16" s="31">
        <f>'Tabel Offset'!P17</f>
        <v>8.1440000000000001</v>
      </c>
      <c r="CC16" s="39">
        <f t="shared" si="40"/>
        <v>8.1440000000000001</v>
      </c>
      <c r="CD16" s="53">
        <f t="shared" si="41"/>
        <v>48.863999999999997</v>
      </c>
      <c r="CE16" s="56">
        <f t="shared" si="42"/>
        <v>16.287999999999997</v>
      </c>
      <c r="CF16" s="59">
        <f t="shared" si="43"/>
        <v>97.465933333333311</v>
      </c>
      <c r="CH16" s="44">
        <f>'Tabel Offset'!$A17</f>
        <v>8</v>
      </c>
      <c r="CI16" s="47">
        <f>IF(CH16="AP",0,IF(CH16="FP",'Tabel Offset'!$AA$4,CH16/20*'Tabel Offset'!$AA$4))</f>
        <v>38.027999999999999</v>
      </c>
      <c r="CJ16" s="31">
        <f>'Tabel Offset'!P17</f>
        <v>8.1440000000000001</v>
      </c>
      <c r="CK16" s="42">
        <f t="shared" si="44"/>
        <v>8.1440000000000001</v>
      </c>
      <c r="CL16" s="31">
        <f>'Tabel Offset'!Q17</f>
        <v>8.1440000000000001</v>
      </c>
      <c r="CM16" s="42">
        <f t="shared" si="45"/>
        <v>32.576000000000001</v>
      </c>
      <c r="CN16" s="31">
        <f>'Tabel Offset'!R17</f>
        <v>8.1440000000000001</v>
      </c>
      <c r="CO16" s="39">
        <f t="shared" si="46"/>
        <v>8.1440000000000001</v>
      </c>
      <c r="CP16" s="53">
        <f t="shared" si="47"/>
        <v>48.863999999999997</v>
      </c>
      <c r="CQ16" s="56">
        <f t="shared" si="48"/>
        <v>8.1439999999999984</v>
      </c>
      <c r="CR16" s="59">
        <f t="shared" si="49"/>
        <v>105.60993333333332</v>
      </c>
      <c r="CT16" s="44">
        <f>'Tabel Offset'!$A17</f>
        <v>8</v>
      </c>
      <c r="CU16" s="47">
        <f>IF(CT16="AP",0,IF(CT16="FP",'Tabel Offset'!$AA$4,CT16/20*'Tabel Offset'!$AA$4))</f>
        <v>38.027999999999999</v>
      </c>
      <c r="CV16" s="31">
        <f>'Tabel Offset'!R17</f>
        <v>8.1440000000000001</v>
      </c>
      <c r="CW16" s="42">
        <f t="shared" si="117"/>
        <v>8.1440000000000001</v>
      </c>
      <c r="CX16" s="31">
        <f>'Tabel Offset'!S17</f>
        <v>8.1440000000000001</v>
      </c>
      <c r="CY16" s="42">
        <f t="shared" si="118"/>
        <v>32.576000000000001</v>
      </c>
      <c r="CZ16" s="31">
        <f>'Tabel Offset'!T17</f>
        <v>8.1440000000000001</v>
      </c>
      <c r="DA16" s="39">
        <f t="shared" si="119"/>
        <v>8.1440000000000001</v>
      </c>
      <c r="DB16" s="53">
        <f t="shared" si="120"/>
        <v>48.863999999999997</v>
      </c>
      <c r="DC16" s="56">
        <f t="shared" si="121"/>
        <v>11.401600000000002</v>
      </c>
      <c r="DD16" s="59">
        <f t="shared" si="122"/>
        <v>117.01153333333332</v>
      </c>
      <c r="DF16" s="44">
        <f>'Tabel Offset'!$A17</f>
        <v>8</v>
      </c>
      <c r="DG16" s="47">
        <f>IF(DF16="AP",0,IF(DF16="FP",'Tabel Offset'!$AA$4,DF16/20*'Tabel Offset'!$AA$4))</f>
        <v>38.027999999999999</v>
      </c>
      <c r="DH16" s="31">
        <f>'Tabel Offset'!T17</f>
        <v>8.1440000000000001</v>
      </c>
      <c r="DI16" s="42">
        <f t="shared" si="123"/>
        <v>8.1440000000000001</v>
      </c>
      <c r="DJ16" s="31">
        <f>'Tabel Offset'!U17</f>
        <v>8.1440000000000001</v>
      </c>
      <c r="DK16" s="42">
        <f t="shared" si="124"/>
        <v>32.576000000000001</v>
      </c>
      <c r="DL16" s="31">
        <f>'Tabel Offset'!V17</f>
        <v>8.1440000000000001</v>
      </c>
      <c r="DM16" s="39">
        <f t="shared" si="125"/>
        <v>8.1440000000000001</v>
      </c>
      <c r="DN16" s="53">
        <f t="shared" si="126"/>
        <v>48.863999999999997</v>
      </c>
      <c r="DO16" s="56">
        <f t="shared" si="127"/>
        <v>11.401600000000002</v>
      </c>
      <c r="DP16" s="59">
        <f>DO16+DD16</f>
        <v>128.41313333333332</v>
      </c>
      <c r="DR16" s="44">
        <f>'Tabel Offset'!$A17</f>
        <v>8</v>
      </c>
      <c r="DS16" s="47">
        <f>IF(DR16="AP",0,IF(DR16="FP",'Tabel Offset'!$AA$4,DR16/20*'Tabel Offset'!$AA$4))</f>
        <v>38.027999999999999</v>
      </c>
      <c r="DT16" s="31">
        <f>'Tabel Offset'!V17</f>
        <v>8.1440000000000001</v>
      </c>
      <c r="DU16" s="42">
        <f t="shared" si="129"/>
        <v>8.1440000000000001</v>
      </c>
      <c r="DV16" s="74">
        <v>8.1440000000000001</v>
      </c>
      <c r="DW16" s="42">
        <f t="shared" si="130"/>
        <v>32.576000000000001</v>
      </c>
      <c r="DX16" s="77">
        <f t="shared" si="131"/>
        <v>7.9362500000000002</v>
      </c>
      <c r="DY16" s="74">
        <v>7.2119999999999997</v>
      </c>
      <c r="DZ16" s="39">
        <f t="shared" si="0"/>
        <v>7.2119999999999997</v>
      </c>
      <c r="EA16" s="74">
        <v>7.9725000000000001</v>
      </c>
      <c r="EB16" s="53">
        <f t="shared" si="1"/>
        <v>47.932000000000002</v>
      </c>
      <c r="EC16" s="56">
        <f t="shared" si="132"/>
        <v>1.1583566666666631</v>
      </c>
      <c r="ED16" s="59">
        <f t="shared" si="68"/>
        <v>129.57148999999998</v>
      </c>
    </row>
    <row r="17" spans="1:134" ht="14.4" thickBot="1" x14ac:dyDescent="0.35">
      <c r="A17" s="23"/>
      <c r="B17" s="130">
        <f>'Tabel Offset'!$A18</f>
        <v>9</v>
      </c>
      <c r="C17" s="47">
        <f>IF(B17="AP",0,IF(B17="FP",'Tabel Offset'!$AA$4,B17/20*'Tabel Offset'!$AA$4))</f>
        <v>42.781500000000001</v>
      </c>
      <c r="D17" s="50">
        <f>'Tabel Offset'!B18</f>
        <v>6.5716000000000001</v>
      </c>
      <c r="E17" s="47">
        <f t="shared" si="2"/>
        <v>6.5716000000000001</v>
      </c>
      <c r="F17" s="50">
        <f>'Tabel Offset'!C18</f>
        <v>8.1440000000000001</v>
      </c>
      <c r="G17" s="88">
        <f t="shared" si="3"/>
        <v>32.576000000000001</v>
      </c>
      <c r="H17" s="29">
        <f>'Tabel Offset'!D18</f>
        <v>8.1440000000000001</v>
      </c>
      <c r="I17" s="39">
        <f t="shared" si="4"/>
        <v>8.1440000000000001</v>
      </c>
      <c r="J17" s="53">
        <f t="shared" si="5"/>
        <v>47.291599999999995</v>
      </c>
      <c r="K17" s="56">
        <f t="shared" si="6"/>
        <v>7.8819333333333326</v>
      </c>
      <c r="L17" s="58">
        <f t="shared" si="7"/>
        <v>7.8819333333333326</v>
      </c>
      <c r="N17" s="32">
        <f>'Tabel Offset'!$A18</f>
        <v>9</v>
      </c>
      <c r="O17" s="47">
        <f>IF(N17="AP",0,IF(N17="FP",'Tabel Offset'!$AA$4,N17/20*'Tabel Offset'!$AA$4))</f>
        <v>42.781500000000001</v>
      </c>
      <c r="P17" s="29">
        <f>'Tabel Offset'!D17</f>
        <v>8.1440000000000001</v>
      </c>
      <c r="Q17" s="42">
        <f t="shared" si="111"/>
        <v>8.1440000000000001</v>
      </c>
      <c r="R17" s="29">
        <f>'Tabel Offset'!E18</f>
        <v>8.1440000000000001</v>
      </c>
      <c r="S17" s="42">
        <f t="shared" si="112"/>
        <v>32.576000000000001</v>
      </c>
      <c r="T17" s="29">
        <f>'Tabel Offset'!F18</f>
        <v>8.1440000000000001</v>
      </c>
      <c r="U17" s="39">
        <f t="shared" si="113"/>
        <v>8.1440000000000001</v>
      </c>
      <c r="V17" s="53">
        <f t="shared" si="114"/>
        <v>48.863999999999997</v>
      </c>
      <c r="W17" s="56">
        <f t="shared" si="115"/>
        <v>8.1439999999999984</v>
      </c>
      <c r="X17" s="59">
        <f t="shared" si="116"/>
        <v>16.025933333333331</v>
      </c>
      <c r="Z17" s="32">
        <f>'Tabel Offset'!$A18</f>
        <v>9</v>
      </c>
      <c r="AA17" s="47">
        <f>IF(Z17="AP",0,IF(Z17="FP",'Tabel Offset'!$AA$4,Z17/20*'Tabel Offset'!$AA$4))</f>
        <v>42.781500000000001</v>
      </c>
      <c r="AB17" s="29">
        <f>'Tabel Offset'!F18</f>
        <v>8.1440000000000001</v>
      </c>
      <c r="AC17" s="42">
        <f t="shared" si="14"/>
        <v>8.1440000000000001</v>
      </c>
      <c r="AD17" s="29">
        <f>'Tabel Offset'!G18</f>
        <v>8.1440000000000001</v>
      </c>
      <c r="AE17" s="42">
        <f t="shared" si="15"/>
        <v>32.576000000000001</v>
      </c>
      <c r="AF17" s="29">
        <f>'Tabel Offset'!H18</f>
        <v>8.1440000000000001</v>
      </c>
      <c r="AG17" s="39">
        <f t="shared" si="16"/>
        <v>8.1440000000000001</v>
      </c>
      <c r="AH17" s="53">
        <f t="shared" si="17"/>
        <v>48.863999999999997</v>
      </c>
      <c r="AI17" s="56">
        <f t="shared" si="18"/>
        <v>16.287999999999997</v>
      </c>
      <c r="AJ17" s="59">
        <f t="shared" si="19"/>
        <v>32.313933333333324</v>
      </c>
      <c r="AL17" s="32">
        <f>'Tabel Offset'!$A18</f>
        <v>9</v>
      </c>
      <c r="AM17" s="47">
        <f>IF(AL17="AP",0,IF(AL17="FP",'Tabel Offset'!$AA$4,AL17/20*'Tabel Offset'!$AA$4))</f>
        <v>42.781500000000001</v>
      </c>
      <c r="AN17" s="29">
        <f>'Tabel Offset'!H18</f>
        <v>8.1440000000000001</v>
      </c>
      <c r="AO17" s="42">
        <f t="shared" si="20"/>
        <v>8.1440000000000001</v>
      </c>
      <c r="AP17" s="90">
        <f>'Tabel Offset'!I18</f>
        <v>8.1440000000000001</v>
      </c>
      <c r="AQ17" s="42">
        <f t="shared" si="21"/>
        <v>32.576000000000001</v>
      </c>
      <c r="AR17" s="29">
        <f>'Tabel Offset'!J18</f>
        <v>8.1440000000000001</v>
      </c>
      <c r="AS17" s="39">
        <f t="shared" si="22"/>
        <v>8.1440000000000001</v>
      </c>
      <c r="AT17" s="53">
        <f t="shared" si="23"/>
        <v>48.863999999999997</v>
      </c>
      <c r="AU17" s="56">
        <f t="shared" si="24"/>
        <v>16.287999999999997</v>
      </c>
      <c r="AV17" s="59">
        <f t="shared" si="25"/>
        <v>48.601933333333321</v>
      </c>
      <c r="AX17" s="44">
        <f>'Tabel Offset'!$A18</f>
        <v>9</v>
      </c>
      <c r="AY17" s="47">
        <f>IF(AX17="AP",0,IF(AX17="FP",'Tabel Offset'!$AA$4,AX17/20*'Tabel Offset'!$AA$4))</f>
        <v>42.781500000000001</v>
      </c>
      <c r="AZ17" s="29">
        <f>'Tabel Offset'!J18</f>
        <v>8.1440000000000001</v>
      </c>
      <c r="BA17" s="42">
        <f t="shared" si="26"/>
        <v>8.1440000000000001</v>
      </c>
      <c r="BB17" s="29">
        <f>'Tabel Offset'!K18</f>
        <v>8.1440000000000001</v>
      </c>
      <c r="BC17" s="42">
        <f t="shared" si="27"/>
        <v>32.576000000000001</v>
      </c>
      <c r="BD17" s="29">
        <f>'Tabel Offset'!L18</f>
        <v>8.1440000000000001</v>
      </c>
      <c r="BE17" s="39">
        <f t="shared" si="28"/>
        <v>8.1440000000000001</v>
      </c>
      <c r="BF17" s="53">
        <f t="shared" si="29"/>
        <v>48.863999999999997</v>
      </c>
      <c r="BG17" s="56">
        <f t="shared" si="30"/>
        <v>16.287999999999997</v>
      </c>
      <c r="BH17" s="59">
        <f t="shared" si="31"/>
        <v>64.889933333333317</v>
      </c>
      <c r="BJ17" s="44">
        <f>'Tabel Offset'!$A18</f>
        <v>9</v>
      </c>
      <c r="BK17" s="47">
        <f>IF(BJ17="AP",0,IF(BJ17="FP",'Tabel Offset'!$AA$4,BJ17/20*'Tabel Offset'!$AA$4))</f>
        <v>42.781500000000001</v>
      </c>
      <c r="BL17" s="29">
        <f>'Tabel Offset'!L18</f>
        <v>8.1440000000000001</v>
      </c>
      <c r="BM17" s="42">
        <f t="shared" si="32"/>
        <v>8.1440000000000001</v>
      </c>
      <c r="BN17" s="29">
        <f>'Tabel Offset'!M18</f>
        <v>8.1440000000000001</v>
      </c>
      <c r="BO17" s="42">
        <f t="shared" si="33"/>
        <v>32.576000000000001</v>
      </c>
      <c r="BP17" s="29">
        <f>'Tabel Offset'!N18</f>
        <v>8.1440000000000001</v>
      </c>
      <c r="BQ17" s="39">
        <f t="shared" si="34"/>
        <v>8.1440000000000001</v>
      </c>
      <c r="BR17" s="53">
        <f t="shared" si="35"/>
        <v>48.863999999999997</v>
      </c>
      <c r="BS17" s="56">
        <f t="shared" si="36"/>
        <v>16.287999999999997</v>
      </c>
      <c r="BT17" s="59">
        <f t="shared" si="37"/>
        <v>81.177933333333314</v>
      </c>
      <c r="BV17" s="44">
        <f>'Tabel Offset'!$A18</f>
        <v>9</v>
      </c>
      <c r="BW17" s="47">
        <f>IF(BV17="AP",0,IF(BV17="FP",'Tabel Offset'!$AA$4,BV17/20*'Tabel Offset'!$AA$4))</f>
        <v>42.781500000000001</v>
      </c>
      <c r="BX17" s="29">
        <f>'Tabel Offset'!N18</f>
        <v>8.1440000000000001</v>
      </c>
      <c r="BY17" s="42">
        <f t="shared" si="38"/>
        <v>8.1440000000000001</v>
      </c>
      <c r="BZ17" s="29">
        <f>'Tabel Offset'!O18</f>
        <v>8.1440000000000001</v>
      </c>
      <c r="CA17" s="42">
        <f t="shared" si="39"/>
        <v>32.576000000000001</v>
      </c>
      <c r="CB17" s="31">
        <f>'Tabel Offset'!P18</f>
        <v>8.1440000000000001</v>
      </c>
      <c r="CC17" s="39">
        <f t="shared" si="40"/>
        <v>8.1440000000000001</v>
      </c>
      <c r="CD17" s="53">
        <f t="shared" si="41"/>
        <v>48.863999999999997</v>
      </c>
      <c r="CE17" s="56">
        <f t="shared" si="42"/>
        <v>16.287999999999997</v>
      </c>
      <c r="CF17" s="59">
        <f t="shared" si="43"/>
        <v>97.465933333333311</v>
      </c>
      <c r="CH17" s="44">
        <f>'Tabel Offset'!$A18</f>
        <v>9</v>
      </c>
      <c r="CI17" s="47">
        <f>IF(CH17="AP",0,IF(CH17="FP",'Tabel Offset'!$AA$4,CH17/20*'Tabel Offset'!$AA$4))</f>
        <v>42.781500000000001</v>
      </c>
      <c r="CJ17" s="31">
        <f>'Tabel Offset'!P18</f>
        <v>8.1440000000000001</v>
      </c>
      <c r="CK17" s="42">
        <f t="shared" si="44"/>
        <v>8.1440000000000001</v>
      </c>
      <c r="CL17" s="31">
        <f>'Tabel Offset'!Q18</f>
        <v>8.1440000000000001</v>
      </c>
      <c r="CM17" s="42">
        <f t="shared" si="45"/>
        <v>32.576000000000001</v>
      </c>
      <c r="CN17" s="31">
        <f>'Tabel Offset'!R18</f>
        <v>8.1440000000000001</v>
      </c>
      <c r="CO17" s="39">
        <f t="shared" si="46"/>
        <v>8.1440000000000001</v>
      </c>
      <c r="CP17" s="53">
        <f t="shared" si="47"/>
        <v>48.863999999999997</v>
      </c>
      <c r="CQ17" s="56">
        <f t="shared" si="48"/>
        <v>8.1439999999999984</v>
      </c>
      <c r="CR17" s="59">
        <f t="shared" si="49"/>
        <v>105.60993333333332</v>
      </c>
      <c r="CT17" s="44">
        <f>'Tabel Offset'!$A18</f>
        <v>9</v>
      </c>
      <c r="CU17" s="47">
        <f>IF(CT17="AP",0,IF(CT17="FP",'Tabel Offset'!$AA$4,CT17/20*'Tabel Offset'!$AA$4))</f>
        <v>42.781500000000001</v>
      </c>
      <c r="CV17" s="31">
        <f>'Tabel Offset'!R18</f>
        <v>8.1440000000000001</v>
      </c>
      <c r="CW17" s="42">
        <f t="shared" si="117"/>
        <v>8.1440000000000001</v>
      </c>
      <c r="CX17" s="31">
        <f>'Tabel Offset'!S18</f>
        <v>8.1440000000000001</v>
      </c>
      <c r="CY17" s="42">
        <f t="shared" si="118"/>
        <v>32.576000000000001</v>
      </c>
      <c r="CZ17" s="31">
        <f>'Tabel Offset'!T18</f>
        <v>8.1440000000000001</v>
      </c>
      <c r="DA17" s="39">
        <f t="shared" si="119"/>
        <v>8.1440000000000001</v>
      </c>
      <c r="DB17" s="53">
        <f t="shared" si="120"/>
        <v>48.863999999999997</v>
      </c>
      <c r="DC17" s="56">
        <f t="shared" si="121"/>
        <v>11.401600000000002</v>
      </c>
      <c r="DD17" s="59">
        <f t="shared" si="122"/>
        <v>117.01153333333332</v>
      </c>
      <c r="DF17" s="44">
        <f>'Tabel Offset'!$A18</f>
        <v>9</v>
      </c>
      <c r="DG17" s="47">
        <f>IF(DF17="AP",0,IF(DF17="FP",'Tabel Offset'!$AA$4,DF17/20*'Tabel Offset'!$AA$4))</f>
        <v>42.781500000000001</v>
      </c>
      <c r="DH17" s="31">
        <f>'Tabel Offset'!T18</f>
        <v>8.1440000000000001</v>
      </c>
      <c r="DI17" s="42">
        <f t="shared" si="123"/>
        <v>8.1440000000000001</v>
      </c>
      <c r="DJ17" s="31">
        <f>'Tabel Offset'!U18</f>
        <v>8.1440000000000001</v>
      </c>
      <c r="DK17" s="42">
        <f t="shared" si="124"/>
        <v>32.576000000000001</v>
      </c>
      <c r="DL17" s="31">
        <f>'Tabel Offset'!V18</f>
        <v>8.1440000000000001</v>
      </c>
      <c r="DM17" s="39">
        <f t="shared" si="125"/>
        <v>8.1440000000000001</v>
      </c>
      <c r="DN17" s="53">
        <f t="shared" si="126"/>
        <v>48.863999999999997</v>
      </c>
      <c r="DO17" s="56">
        <f t="shared" si="127"/>
        <v>11.401600000000002</v>
      </c>
      <c r="DP17" s="59">
        <f t="shared" si="128"/>
        <v>128.41313333333332</v>
      </c>
      <c r="DR17" s="44">
        <f>'Tabel Offset'!$A18</f>
        <v>9</v>
      </c>
      <c r="DS17" s="47">
        <f>IF(DR17="AP",0,IF(DR17="FP",'Tabel Offset'!$AA$4,DR17/20*'Tabel Offset'!$AA$4))</f>
        <v>42.781500000000001</v>
      </c>
      <c r="DT17" s="31">
        <f>'Tabel Offset'!V18</f>
        <v>8.1440000000000001</v>
      </c>
      <c r="DU17" s="42">
        <f t="shared" si="129"/>
        <v>8.1440000000000001</v>
      </c>
      <c r="DV17" s="74">
        <v>8.1440000000000001</v>
      </c>
      <c r="DW17" s="42">
        <f t="shared" si="130"/>
        <v>32.576000000000001</v>
      </c>
      <c r="DX17" s="77">
        <f t="shared" si="131"/>
        <v>7.91995</v>
      </c>
      <c r="DY17" s="74">
        <v>7.2229999999999999</v>
      </c>
      <c r="DZ17" s="39">
        <f t="shared" si="0"/>
        <v>7.2229999999999999</v>
      </c>
      <c r="EA17" s="74">
        <v>7.9398999999999997</v>
      </c>
      <c r="EB17" s="53">
        <f t="shared" si="1"/>
        <v>47.942999999999998</v>
      </c>
      <c r="EC17" s="56">
        <f t="shared" si="132"/>
        <v>0.63764189999998999</v>
      </c>
      <c r="ED17" s="59">
        <f t="shared" si="68"/>
        <v>129.0507752333333</v>
      </c>
    </row>
    <row r="18" spans="1:134" ht="14.4" thickBot="1" x14ac:dyDescent="0.35">
      <c r="A18" s="24"/>
      <c r="B18" s="130">
        <f>'Tabel Offset'!$A19</f>
        <v>10</v>
      </c>
      <c r="C18" s="47">
        <f>IF(B18="AP",0,IF(B18="FP",'Tabel Offset'!$AA$4,B18/20*'Tabel Offset'!$AA$4))</f>
        <v>47.534999999999997</v>
      </c>
      <c r="D18" s="50">
        <f>'Tabel Offset'!B19</f>
        <v>6.5716000000000001</v>
      </c>
      <c r="E18" s="47">
        <f t="shared" si="2"/>
        <v>6.5716000000000001</v>
      </c>
      <c r="F18" s="50">
        <f>'Tabel Offset'!C19</f>
        <v>8.1440000000000001</v>
      </c>
      <c r="G18" s="88">
        <f t="shared" si="3"/>
        <v>32.576000000000001</v>
      </c>
      <c r="H18" s="29">
        <f>'Tabel Offset'!D19</f>
        <v>8.1440000000000001</v>
      </c>
      <c r="I18" s="39">
        <f t="shared" si="4"/>
        <v>8.1440000000000001</v>
      </c>
      <c r="J18" s="53">
        <f t="shared" si="5"/>
        <v>47.291599999999995</v>
      </c>
      <c r="K18" s="56">
        <f t="shared" si="6"/>
        <v>7.8819333333333326</v>
      </c>
      <c r="L18" s="58">
        <f t="shared" si="7"/>
        <v>7.8819333333333326</v>
      </c>
      <c r="N18" s="32">
        <f>'Tabel Offset'!$A19</f>
        <v>10</v>
      </c>
      <c r="O18" s="47">
        <f>IF(N18="AP",0,IF(N18="FP",'Tabel Offset'!$AA$4,N18/20*'Tabel Offset'!$AA$4))</f>
        <v>47.534999999999997</v>
      </c>
      <c r="P18" s="29">
        <f>'Tabel Offset'!D19</f>
        <v>8.1440000000000001</v>
      </c>
      <c r="Q18" s="42">
        <f t="shared" si="111"/>
        <v>8.1440000000000001</v>
      </c>
      <c r="R18" s="29">
        <f>'Tabel Offset'!E19</f>
        <v>8.1440000000000001</v>
      </c>
      <c r="S18" s="42">
        <f t="shared" si="112"/>
        <v>32.576000000000001</v>
      </c>
      <c r="T18" s="29">
        <f>'Tabel Offset'!F19</f>
        <v>8.1440000000000001</v>
      </c>
      <c r="U18" s="39">
        <f t="shared" si="113"/>
        <v>8.1440000000000001</v>
      </c>
      <c r="V18" s="53">
        <f t="shared" si="114"/>
        <v>48.863999999999997</v>
      </c>
      <c r="W18" s="56">
        <f t="shared" si="115"/>
        <v>8.1439999999999984</v>
      </c>
      <c r="X18" s="59">
        <f t="shared" si="116"/>
        <v>16.025933333333331</v>
      </c>
      <c r="Z18" s="32">
        <f>'Tabel Offset'!$A19</f>
        <v>10</v>
      </c>
      <c r="AA18" s="47">
        <f>IF(Z18="AP",0,IF(Z18="FP",'Tabel Offset'!$AA$4,Z18/20*'Tabel Offset'!$AA$4))</f>
        <v>47.534999999999997</v>
      </c>
      <c r="AB18" s="29">
        <f>'Tabel Offset'!F19</f>
        <v>8.1440000000000001</v>
      </c>
      <c r="AC18" s="42">
        <f t="shared" si="14"/>
        <v>8.1440000000000001</v>
      </c>
      <c r="AD18" s="29">
        <f>'Tabel Offset'!G19</f>
        <v>8.1440000000000001</v>
      </c>
      <c r="AE18" s="42">
        <f t="shared" si="15"/>
        <v>32.576000000000001</v>
      </c>
      <c r="AF18" s="29">
        <f>'Tabel Offset'!H19</f>
        <v>8.1440000000000001</v>
      </c>
      <c r="AG18" s="39">
        <f t="shared" si="16"/>
        <v>8.1440000000000001</v>
      </c>
      <c r="AH18" s="53">
        <f t="shared" si="17"/>
        <v>48.863999999999997</v>
      </c>
      <c r="AI18" s="56">
        <f t="shared" si="18"/>
        <v>16.287999999999997</v>
      </c>
      <c r="AJ18" s="59">
        <f t="shared" si="19"/>
        <v>32.313933333333324</v>
      </c>
      <c r="AL18" s="32">
        <f>'Tabel Offset'!$A19</f>
        <v>10</v>
      </c>
      <c r="AM18" s="47">
        <f>IF(AL18="AP",0,IF(AL18="FP",'Tabel Offset'!$AA$4,AL18/20*'Tabel Offset'!$AA$4))</f>
        <v>47.534999999999997</v>
      </c>
      <c r="AN18" s="29">
        <f>'Tabel Offset'!H19</f>
        <v>8.1440000000000001</v>
      </c>
      <c r="AO18" s="42">
        <f t="shared" si="20"/>
        <v>8.1440000000000001</v>
      </c>
      <c r="AP18" s="90">
        <f>'Tabel Offset'!I19</f>
        <v>8.1440000000000001</v>
      </c>
      <c r="AQ18" s="42">
        <f t="shared" si="21"/>
        <v>32.576000000000001</v>
      </c>
      <c r="AR18" s="29">
        <f>'Tabel Offset'!J19</f>
        <v>8.1440000000000001</v>
      </c>
      <c r="AS18" s="39">
        <f t="shared" si="22"/>
        <v>8.1440000000000001</v>
      </c>
      <c r="AT18" s="53">
        <f t="shared" si="23"/>
        <v>48.863999999999997</v>
      </c>
      <c r="AU18" s="56">
        <f t="shared" si="24"/>
        <v>16.287999999999997</v>
      </c>
      <c r="AV18" s="59">
        <f t="shared" si="25"/>
        <v>48.601933333333321</v>
      </c>
      <c r="AX18" s="44">
        <f>'Tabel Offset'!$A19</f>
        <v>10</v>
      </c>
      <c r="AY18" s="47">
        <f>IF(AX18="AP",0,IF(AX18="FP",'Tabel Offset'!$AA$4,AX18/20*'Tabel Offset'!$AA$4))</f>
        <v>47.534999999999997</v>
      </c>
      <c r="AZ18" s="29">
        <f>'Tabel Offset'!J19</f>
        <v>8.1440000000000001</v>
      </c>
      <c r="BA18" s="42">
        <f t="shared" si="26"/>
        <v>8.1440000000000001</v>
      </c>
      <c r="BB18" s="29">
        <f>'Tabel Offset'!K19</f>
        <v>8.1440000000000001</v>
      </c>
      <c r="BC18" s="42">
        <f t="shared" si="27"/>
        <v>32.576000000000001</v>
      </c>
      <c r="BD18" s="29">
        <f>'Tabel Offset'!L19</f>
        <v>8.1440000000000001</v>
      </c>
      <c r="BE18" s="39">
        <f t="shared" si="28"/>
        <v>8.1440000000000001</v>
      </c>
      <c r="BF18" s="53">
        <f t="shared" si="29"/>
        <v>48.863999999999997</v>
      </c>
      <c r="BG18" s="56">
        <f t="shared" si="30"/>
        <v>16.287999999999997</v>
      </c>
      <c r="BH18" s="59">
        <f t="shared" si="31"/>
        <v>64.889933333333317</v>
      </c>
      <c r="BJ18" s="44">
        <f>'Tabel Offset'!$A19</f>
        <v>10</v>
      </c>
      <c r="BK18" s="47">
        <f>IF(BJ18="AP",0,IF(BJ18="FP",'Tabel Offset'!$AA$4,BJ18/20*'Tabel Offset'!$AA$4))</f>
        <v>47.534999999999997</v>
      </c>
      <c r="BL18" s="29">
        <f>'Tabel Offset'!L19</f>
        <v>8.1440000000000001</v>
      </c>
      <c r="BM18" s="42">
        <f t="shared" si="32"/>
        <v>8.1440000000000001</v>
      </c>
      <c r="BN18" s="29">
        <f>'Tabel Offset'!M19</f>
        <v>8.1440000000000001</v>
      </c>
      <c r="BO18" s="42">
        <f t="shared" si="33"/>
        <v>32.576000000000001</v>
      </c>
      <c r="BP18" s="29">
        <f>'Tabel Offset'!N19</f>
        <v>8.1440000000000001</v>
      </c>
      <c r="BQ18" s="39">
        <f t="shared" si="34"/>
        <v>8.1440000000000001</v>
      </c>
      <c r="BR18" s="53">
        <f t="shared" si="35"/>
        <v>48.863999999999997</v>
      </c>
      <c r="BS18" s="56">
        <f t="shared" si="36"/>
        <v>16.287999999999997</v>
      </c>
      <c r="BT18" s="59">
        <f t="shared" si="37"/>
        <v>81.177933333333314</v>
      </c>
      <c r="BV18" s="44">
        <f>'Tabel Offset'!$A19</f>
        <v>10</v>
      </c>
      <c r="BW18" s="47">
        <f>IF(BV18="AP",0,IF(BV18="FP",'Tabel Offset'!$AA$4,BV18/20*'Tabel Offset'!$AA$4))</f>
        <v>47.534999999999997</v>
      </c>
      <c r="BX18" s="29">
        <f>'Tabel Offset'!N19</f>
        <v>8.1440000000000001</v>
      </c>
      <c r="BY18" s="42">
        <f t="shared" si="38"/>
        <v>8.1440000000000001</v>
      </c>
      <c r="BZ18" s="29">
        <f>'Tabel Offset'!O19</f>
        <v>8.1440000000000001</v>
      </c>
      <c r="CA18" s="42">
        <f t="shared" si="39"/>
        <v>32.576000000000001</v>
      </c>
      <c r="CB18" s="31">
        <f>'Tabel Offset'!P19</f>
        <v>8.1440000000000001</v>
      </c>
      <c r="CC18" s="39">
        <f t="shared" si="40"/>
        <v>8.1440000000000001</v>
      </c>
      <c r="CD18" s="53">
        <f t="shared" si="41"/>
        <v>48.863999999999997</v>
      </c>
      <c r="CE18" s="56">
        <f t="shared" si="42"/>
        <v>16.287999999999997</v>
      </c>
      <c r="CF18" s="59">
        <f t="shared" si="43"/>
        <v>97.465933333333311</v>
      </c>
      <c r="CH18" s="44">
        <f>'Tabel Offset'!$A19</f>
        <v>10</v>
      </c>
      <c r="CI18" s="47">
        <f>IF(CH18="AP",0,IF(CH18="FP",'Tabel Offset'!$AA$4,CH18/20*'Tabel Offset'!$AA$4))</f>
        <v>47.534999999999997</v>
      </c>
      <c r="CJ18" s="31">
        <f>'Tabel Offset'!P19</f>
        <v>8.1440000000000001</v>
      </c>
      <c r="CK18" s="42">
        <f t="shared" si="44"/>
        <v>8.1440000000000001</v>
      </c>
      <c r="CL18" s="31">
        <f>'Tabel Offset'!Q19</f>
        <v>8.1440000000000001</v>
      </c>
      <c r="CM18" s="42">
        <f t="shared" si="45"/>
        <v>32.576000000000001</v>
      </c>
      <c r="CN18" s="31">
        <f>'Tabel Offset'!R19</f>
        <v>8.1440000000000001</v>
      </c>
      <c r="CO18" s="39">
        <f t="shared" si="46"/>
        <v>8.1440000000000001</v>
      </c>
      <c r="CP18" s="53">
        <f t="shared" si="47"/>
        <v>48.863999999999997</v>
      </c>
      <c r="CQ18" s="56">
        <f t="shared" si="48"/>
        <v>8.1439999999999984</v>
      </c>
      <c r="CR18" s="59">
        <f t="shared" si="49"/>
        <v>105.60993333333332</v>
      </c>
      <c r="CT18" s="44">
        <f>'Tabel Offset'!$A19</f>
        <v>10</v>
      </c>
      <c r="CU18" s="47">
        <f>IF(CT18="AP",0,IF(CT18="FP",'Tabel Offset'!$AA$4,CT18/20*'Tabel Offset'!$AA$4))</f>
        <v>47.534999999999997</v>
      </c>
      <c r="CV18" s="31">
        <f>'Tabel Offset'!R19</f>
        <v>8.1440000000000001</v>
      </c>
      <c r="CW18" s="42">
        <f t="shared" si="117"/>
        <v>8.1440000000000001</v>
      </c>
      <c r="CX18" s="31">
        <f>'Tabel Offset'!S19</f>
        <v>8.1440000000000001</v>
      </c>
      <c r="CY18" s="42">
        <f t="shared" si="118"/>
        <v>32.576000000000001</v>
      </c>
      <c r="CZ18" s="31">
        <f>'Tabel Offset'!T19</f>
        <v>8.1440000000000001</v>
      </c>
      <c r="DA18" s="39">
        <f t="shared" si="119"/>
        <v>8.1440000000000001</v>
      </c>
      <c r="DB18" s="53">
        <f t="shared" si="120"/>
        <v>48.863999999999997</v>
      </c>
      <c r="DC18" s="56">
        <f t="shared" si="121"/>
        <v>11.401600000000002</v>
      </c>
      <c r="DD18" s="59">
        <f t="shared" si="122"/>
        <v>117.01153333333332</v>
      </c>
      <c r="DF18" s="44">
        <f>'Tabel Offset'!$A19</f>
        <v>10</v>
      </c>
      <c r="DG18" s="47">
        <f>IF(DF18="AP",0,IF(DF18="FP",'Tabel Offset'!$AA$4,DF18/20*'Tabel Offset'!$AA$4))</f>
        <v>47.534999999999997</v>
      </c>
      <c r="DH18" s="31">
        <f>'Tabel Offset'!T19</f>
        <v>8.1440000000000001</v>
      </c>
      <c r="DI18" s="42">
        <f t="shared" si="123"/>
        <v>8.1440000000000001</v>
      </c>
      <c r="DJ18" s="31">
        <f>'Tabel Offset'!U19</f>
        <v>8.1440000000000001</v>
      </c>
      <c r="DK18" s="42">
        <f t="shared" si="124"/>
        <v>32.576000000000001</v>
      </c>
      <c r="DL18" s="31">
        <f>'Tabel Offset'!V19</f>
        <v>8.1440000000000001</v>
      </c>
      <c r="DM18" s="39">
        <f t="shared" si="125"/>
        <v>8.1440000000000001</v>
      </c>
      <c r="DN18" s="53">
        <f t="shared" si="126"/>
        <v>48.863999999999997</v>
      </c>
      <c r="DO18" s="56">
        <f t="shared" si="127"/>
        <v>11.401600000000002</v>
      </c>
      <c r="DP18" s="59">
        <f t="shared" si="128"/>
        <v>128.41313333333332</v>
      </c>
      <c r="DR18" s="44">
        <f>'Tabel Offset'!$A19</f>
        <v>10</v>
      </c>
      <c r="DS18" s="47">
        <f>IF(DR18="AP",0,IF(DR18="FP",'Tabel Offset'!$AA$4,DR18/20*'Tabel Offset'!$AA$4))</f>
        <v>47.534999999999997</v>
      </c>
      <c r="DT18" s="31">
        <f>'Tabel Offset'!V19</f>
        <v>8.1440000000000001</v>
      </c>
      <c r="DU18" s="42">
        <f t="shared" si="129"/>
        <v>8.1440000000000001</v>
      </c>
      <c r="DV18" s="74">
        <v>8.1440000000000001</v>
      </c>
      <c r="DW18" s="42">
        <f t="shared" si="130"/>
        <v>32.576000000000001</v>
      </c>
      <c r="DX18" s="77">
        <f t="shared" si="131"/>
        <v>7.9134000000000002</v>
      </c>
      <c r="DY18" s="74">
        <v>7.2229999999999999</v>
      </c>
      <c r="DZ18" s="39">
        <f t="shared" si="0"/>
        <v>7.2229999999999999</v>
      </c>
      <c r="EA18" s="74">
        <v>7.9268000000000001</v>
      </c>
      <c r="EB18" s="53">
        <f t="shared" si="1"/>
        <v>47.942999999999998</v>
      </c>
      <c r="EC18" s="56">
        <f t="shared" si="132"/>
        <v>0.42829079999999542</v>
      </c>
      <c r="ED18" s="59">
        <f t="shared" si="68"/>
        <v>128.84142413333331</v>
      </c>
    </row>
    <row r="19" spans="1:134" ht="14.4" thickBot="1" x14ac:dyDescent="0.35">
      <c r="A19" s="23"/>
      <c r="B19" s="130">
        <f>'Tabel Offset'!$A20</f>
        <v>11</v>
      </c>
      <c r="C19" s="47">
        <f>IF(B19="AP",0,IF(B19="FP",'Tabel Offset'!$AA$4,B19/20*'Tabel Offset'!$AA$4))</f>
        <v>52.288499999999999</v>
      </c>
      <c r="D19" s="50">
        <f>'Tabel Offset'!B20</f>
        <v>6.5716000000000001</v>
      </c>
      <c r="E19" s="47">
        <f t="shared" si="2"/>
        <v>6.5716000000000001</v>
      </c>
      <c r="F19" s="50">
        <f>'Tabel Offset'!C20</f>
        <v>8.1440000000000001</v>
      </c>
      <c r="G19" s="88">
        <f t="shared" si="3"/>
        <v>32.576000000000001</v>
      </c>
      <c r="H19" s="29">
        <f>'Tabel Offset'!D20</f>
        <v>8.1440000000000001</v>
      </c>
      <c r="I19" s="39">
        <f t="shared" si="4"/>
        <v>8.1440000000000001</v>
      </c>
      <c r="J19" s="53">
        <f t="shared" si="5"/>
        <v>47.291599999999995</v>
      </c>
      <c r="K19" s="56">
        <f t="shared" si="6"/>
        <v>7.8819333333333326</v>
      </c>
      <c r="L19" s="58">
        <f t="shared" si="7"/>
        <v>7.8819333333333326</v>
      </c>
      <c r="N19" s="32">
        <f>'Tabel Offset'!$A20</f>
        <v>11</v>
      </c>
      <c r="O19" s="47">
        <f>IF(N19="AP",0,IF(N19="FP",'Tabel Offset'!$AA$4,N19/20*'Tabel Offset'!$AA$4))</f>
        <v>52.288499999999999</v>
      </c>
      <c r="P19" s="29">
        <f>'Tabel Offset'!D19</f>
        <v>8.1440000000000001</v>
      </c>
      <c r="Q19" s="42">
        <f t="shared" si="111"/>
        <v>8.1440000000000001</v>
      </c>
      <c r="R19" s="29">
        <f>'Tabel Offset'!E20</f>
        <v>8.1440000000000001</v>
      </c>
      <c r="S19" s="42">
        <f t="shared" si="112"/>
        <v>32.576000000000001</v>
      </c>
      <c r="T19" s="29">
        <f>'Tabel Offset'!F20</f>
        <v>8.1440000000000001</v>
      </c>
      <c r="U19" s="39">
        <f t="shared" si="113"/>
        <v>8.1440000000000001</v>
      </c>
      <c r="V19" s="53">
        <f t="shared" si="114"/>
        <v>48.863999999999997</v>
      </c>
      <c r="W19" s="56">
        <f t="shared" si="115"/>
        <v>8.1439999999999984</v>
      </c>
      <c r="X19" s="59">
        <f t="shared" si="116"/>
        <v>16.025933333333331</v>
      </c>
      <c r="Z19" s="32">
        <f>'Tabel Offset'!$A20</f>
        <v>11</v>
      </c>
      <c r="AA19" s="47">
        <f>IF(Z19="AP",0,IF(Z19="FP",'Tabel Offset'!$AA$4,Z19/20*'Tabel Offset'!$AA$4))</f>
        <v>52.288499999999999</v>
      </c>
      <c r="AB19" s="29">
        <f>'Tabel Offset'!F20</f>
        <v>8.1440000000000001</v>
      </c>
      <c r="AC19" s="42">
        <f t="shared" si="14"/>
        <v>8.1440000000000001</v>
      </c>
      <c r="AD19" s="29">
        <f>'Tabel Offset'!G20</f>
        <v>8.1440000000000001</v>
      </c>
      <c r="AE19" s="42">
        <f t="shared" si="15"/>
        <v>32.576000000000001</v>
      </c>
      <c r="AF19" s="29">
        <f>'Tabel Offset'!H20</f>
        <v>8.1440000000000001</v>
      </c>
      <c r="AG19" s="39">
        <f t="shared" si="16"/>
        <v>8.1440000000000001</v>
      </c>
      <c r="AH19" s="53">
        <f t="shared" si="17"/>
        <v>48.863999999999997</v>
      </c>
      <c r="AI19" s="56">
        <f t="shared" si="18"/>
        <v>16.287999999999997</v>
      </c>
      <c r="AJ19" s="59">
        <f t="shared" si="19"/>
        <v>32.313933333333324</v>
      </c>
      <c r="AL19" s="32">
        <f>'Tabel Offset'!$A20</f>
        <v>11</v>
      </c>
      <c r="AM19" s="47">
        <f>IF(AL19="AP",0,IF(AL19="FP",'Tabel Offset'!$AA$4,AL19/20*'Tabel Offset'!$AA$4))</f>
        <v>52.288499999999999</v>
      </c>
      <c r="AN19" s="29">
        <f>'Tabel Offset'!H20</f>
        <v>8.1440000000000001</v>
      </c>
      <c r="AO19" s="42">
        <f t="shared" si="20"/>
        <v>8.1440000000000001</v>
      </c>
      <c r="AP19" s="90">
        <f>'Tabel Offset'!I20</f>
        <v>8.1440000000000001</v>
      </c>
      <c r="AQ19" s="42">
        <f t="shared" si="21"/>
        <v>32.576000000000001</v>
      </c>
      <c r="AR19" s="29">
        <f>'Tabel Offset'!J20</f>
        <v>8.1440000000000001</v>
      </c>
      <c r="AS19" s="39">
        <f t="shared" si="22"/>
        <v>8.1440000000000001</v>
      </c>
      <c r="AT19" s="53">
        <f t="shared" si="23"/>
        <v>48.863999999999997</v>
      </c>
      <c r="AU19" s="56">
        <f t="shared" si="24"/>
        <v>16.287999999999997</v>
      </c>
      <c r="AV19" s="59">
        <f t="shared" si="25"/>
        <v>48.601933333333321</v>
      </c>
      <c r="AX19" s="44">
        <f>'Tabel Offset'!$A20</f>
        <v>11</v>
      </c>
      <c r="AY19" s="47">
        <f>IF(AX19="AP",0,IF(AX19="FP",'Tabel Offset'!$AA$4,AX19/20*'Tabel Offset'!$AA$4))</f>
        <v>52.288499999999999</v>
      </c>
      <c r="AZ19" s="29">
        <f>'Tabel Offset'!J20</f>
        <v>8.1440000000000001</v>
      </c>
      <c r="BA19" s="42">
        <f t="shared" si="26"/>
        <v>8.1440000000000001</v>
      </c>
      <c r="BB19" s="29">
        <f>'Tabel Offset'!K20</f>
        <v>8.1440000000000001</v>
      </c>
      <c r="BC19" s="42">
        <f t="shared" si="27"/>
        <v>32.576000000000001</v>
      </c>
      <c r="BD19" s="29">
        <f>'Tabel Offset'!L20</f>
        <v>8.1440000000000001</v>
      </c>
      <c r="BE19" s="39">
        <f t="shared" si="28"/>
        <v>8.1440000000000001</v>
      </c>
      <c r="BF19" s="53">
        <f t="shared" si="29"/>
        <v>48.863999999999997</v>
      </c>
      <c r="BG19" s="56">
        <f t="shared" si="30"/>
        <v>16.287999999999997</v>
      </c>
      <c r="BH19" s="59">
        <f t="shared" si="31"/>
        <v>64.889933333333317</v>
      </c>
      <c r="BJ19" s="44">
        <f>'Tabel Offset'!$A20</f>
        <v>11</v>
      </c>
      <c r="BK19" s="47">
        <f>IF(BJ19="AP",0,IF(BJ19="FP",'Tabel Offset'!$AA$4,BJ19/20*'Tabel Offset'!$AA$4))</f>
        <v>52.288499999999999</v>
      </c>
      <c r="BL19" s="29">
        <f>'Tabel Offset'!L20</f>
        <v>8.1440000000000001</v>
      </c>
      <c r="BM19" s="42">
        <f t="shared" si="32"/>
        <v>8.1440000000000001</v>
      </c>
      <c r="BN19" s="29">
        <f>'Tabel Offset'!M20</f>
        <v>8.1440000000000001</v>
      </c>
      <c r="BO19" s="42">
        <f t="shared" si="33"/>
        <v>32.576000000000001</v>
      </c>
      <c r="BP19" s="29">
        <f>'Tabel Offset'!N20</f>
        <v>8.1440000000000001</v>
      </c>
      <c r="BQ19" s="39">
        <f t="shared" si="34"/>
        <v>8.1440000000000001</v>
      </c>
      <c r="BR19" s="53">
        <f t="shared" si="35"/>
        <v>48.863999999999997</v>
      </c>
      <c r="BS19" s="56">
        <f t="shared" si="36"/>
        <v>16.287999999999997</v>
      </c>
      <c r="BT19" s="59">
        <f t="shared" si="37"/>
        <v>81.177933333333314</v>
      </c>
      <c r="BV19" s="44">
        <f>'Tabel Offset'!$A20</f>
        <v>11</v>
      </c>
      <c r="BW19" s="47">
        <f>IF(BV19="AP",0,IF(BV19="FP",'Tabel Offset'!$AA$4,BV19/20*'Tabel Offset'!$AA$4))</f>
        <v>52.288499999999999</v>
      </c>
      <c r="BX19" s="29">
        <f>'Tabel Offset'!N20</f>
        <v>8.1440000000000001</v>
      </c>
      <c r="BY19" s="42">
        <f t="shared" si="38"/>
        <v>8.1440000000000001</v>
      </c>
      <c r="BZ19" s="29">
        <f>'Tabel Offset'!O20</f>
        <v>8.1440000000000001</v>
      </c>
      <c r="CA19" s="42">
        <f t="shared" si="39"/>
        <v>32.576000000000001</v>
      </c>
      <c r="CB19" s="31">
        <f>'Tabel Offset'!P20</f>
        <v>8.1440000000000001</v>
      </c>
      <c r="CC19" s="39">
        <f t="shared" si="40"/>
        <v>8.1440000000000001</v>
      </c>
      <c r="CD19" s="53">
        <f t="shared" si="41"/>
        <v>48.863999999999997</v>
      </c>
      <c r="CE19" s="56">
        <f t="shared" si="42"/>
        <v>16.287999999999997</v>
      </c>
      <c r="CF19" s="59">
        <f t="shared" si="43"/>
        <v>97.465933333333311</v>
      </c>
      <c r="CH19" s="44">
        <f>'Tabel Offset'!$A20</f>
        <v>11</v>
      </c>
      <c r="CI19" s="47">
        <f>IF(CH19="AP",0,IF(CH19="FP",'Tabel Offset'!$AA$4,CH19/20*'Tabel Offset'!$AA$4))</f>
        <v>52.288499999999999</v>
      </c>
      <c r="CJ19" s="31">
        <f>'Tabel Offset'!P20</f>
        <v>8.1440000000000001</v>
      </c>
      <c r="CK19" s="42">
        <f t="shared" si="44"/>
        <v>8.1440000000000001</v>
      </c>
      <c r="CL19" s="31">
        <f>'Tabel Offset'!Q20</f>
        <v>8.1440000000000001</v>
      </c>
      <c r="CM19" s="42">
        <f t="shared" si="45"/>
        <v>32.576000000000001</v>
      </c>
      <c r="CN19" s="31">
        <f>'Tabel Offset'!R20</f>
        <v>8.1440000000000001</v>
      </c>
      <c r="CO19" s="39">
        <f t="shared" si="46"/>
        <v>8.1440000000000001</v>
      </c>
      <c r="CP19" s="53">
        <f t="shared" si="47"/>
        <v>48.863999999999997</v>
      </c>
      <c r="CQ19" s="56">
        <f t="shared" si="48"/>
        <v>8.1439999999999984</v>
      </c>
      <c r="CR19" s="59">
        <f t="shared" si="49"/>
        <v>105.60993333333332</v>
      </c>
      <c r="CT19" s="44">
        <f>'Tabel Offset'!$A20</f>
        <v>11</v>
      </c>
      <c r="CU19" s="47">
        <f>IF(CT19="AP",0,IF(CT19="FP",'Tabel Offset'!$AA$4,CT19/20*'Tabel Offset'!$AA$4))</f>
        <v>52.288499999999999</v>
      </c>
      <c r="CV19" s="31">
        <f>'Tabel Offset'!R20</f>
        <v>8.1440000000000001</v>
      </c>
      <c r="CW19" s="42">
        <f t="shared" si="117"/>
        <v>8.1440000000000001</v>
      </c>
      <c r="CX19" s="31">
        <f>'Tabel Offset'!S20</f>
        <v>8.1440000000000001</v>
      </c>
      <c r="CY19" s="42">
        <f t="shared" si="118"/>
        <v>32.576000000000001</v>
      </c>
      <c r="CZ19" s="31">
        <f>'Tabel Offset'!T20</f>
        <v>8.1440000000000001</v>
      </c>
      <c r="DA19" s="39">
        <f t="shared" si="119"/>
        <v>8.1440000000000001</v>
      </c>
      <c r="DB19" s="53">
        <f t="shared" si="120"/>
        <v>48.863999999999997</v>
      </c>
      <c r="DC19" s="56">
        <f t="shared" si="121"/>
        <v>11.401600000000002</v>
      </c>
      <c r="DD19" s="59">
        <f t="shared" si="122"/>
        <v>117.01153333333332</v>
      </c>
      <c r="DF19" s="44">
        <f>'Tabel Offset'!$A20</f>
        <v>11</v>
      </c>
      <c r="DG19" s="47">
        <f>IF(DF19="AP",0,IF(DF19="FP",'Tabel Offset'!$AA$4,DF19/20*'Tabel Offset'!$AA$4))</f>
        <v>52.288499999999999</v>
      </c>
      <c r="DH19" s="31">
        <f>'Tabel Offset'!T20</f>
        <v>8.1440000000000001</v>
      </c>
      <c r="DI19" s="42">
        <f t="shared" si="123"/>
        <v>8.1440000000000001</v>
      </c>
      <c r="DJ19" s="31">
        <f>'Tabel Offset'!U20</f>
        <v>8.1440000000000001</v>
      </c>
      <c r="DK19" s="42">
        <f t="shared" si="124"/>
        <v>32.576000000000001</v>
      </c>
      <c r="DL19" s="31">
        <f>'Tabel Offset'!V20</f>
        <v>8.1440000000000001</v>
      </c>
      <c r="DM19" s="39">
        <f t="shared" si="125"/>
        <v>8.1440000000000001</v>
      </c>
      <c r="DN19" s="53">
        <f t="shared" si="126"/>
        <v>48.863999999999997</v>
      </c>
      <c r="DO19" s="56">
        <f t="shared" si="127"/>
        <v>11.401600000000002</v>
      </c>
      <c r="DP19" s="59">
        <f t="shared" si="128"/>
        <v>128.41313333333332</v>
      </c>
      <c r="DR19" s="44">
        <f>'Tabel Offset'!$A20</f>
        <v>11</v>
      </c>
      <c r="DS19" s="47">
        <f>IF(DR19="AP",0,IF(DR19="FP",'Tabel Offset'!$AA$4,DR19/20*'Tabel Offset'!$AA$4))</f>
        <v>52.288499999999999</v>
      </c>
      <c r="DT19" s="31">
        <f>'Tabel Offset'!V20</f>
        <v>8.1440000000000001</v>
      </c>
      <c r="DU19" s="42">
        <f t="shared" si="129"/>
        <v>8.1440000000000001</v>
      </c>
      <c r="DV19" s="74">
        <v>8.1440000000000001</v>
      </c>
      <c r="DW19" s="42">
        <f t="shared" si="130"/>
        <v>32.576000000000001</v>
      </c>
      <c r="DX19" s="77">
        <f t="shared" si="131"/>
        <v>7.9206500000000002</v>
      </c>
      <c r="DY19" s="74">
        <v>7.2229999999999999</v>
      </c>
      <c r="DZ19" s="39">
        <f t="shared" si="0"/>
        <v>7.2229999999999999</v>
      </c>
      <c r="EA19" s="74">
        <v>7.9413</v>
      </c>
      <c r="EB19" s="53">
        <f t="shared" si="1"/>
        <v>47.942999999999998</v>
      </c>
      <c r="EC19" s="56">
        <f t="shared" si="132"/>
        <v>0.66001529999999464</v>
      </c>
      <c r="ED19" s="59">
        <f t="shared" si="68"/>
        <v>129.07314863333332</v>
      </c>
    </row>
    <row r="20" spans="1:134" ht="14.4" thickBot="1" x14ac:dyDescent="0.35">
      <c r="A20" s="24"/>
      <c r="B20" s="130">
        <f>'Tabel Offset'!$A21</f>
        <v>12</v>
      </c>
      <c r="C20" s="47">
        <f>IF(B20="AP",0,IF(B20="FP",'Tabel Offset'!$AA$4,B20/20*'Tabel Offset'!$AA$4))</f>
        <v>57.041999999999994</v>
      </c>
      <c r="D20" s="50">
        <f>'Tabel Offset'!B21</f>
        <v>6.5716000000000001</v>
      </c>
      <c r="E20" s="47">
        <f t="shared" si="2"/>
        <v>6.5716000000000001</v>
      </c>
      <c r="F20" s="50">
        <f>'Tabel Offset'!C21</f>
        <v>8.1440000000000001</v>
      </c>
      <c r="G20" s="88">
        <f t="shared" si="3"/>
        <v>32.576000000000001</v>
      </c>
      <c r="H20" s="29">
        <f>'Tabel Offset'!D21</f>
        <v>8.1440000000000001</v>
      </c>
      <c r="I20" s="39">
        <f t="shared" si="4"/>
        <v>8.1440000000000001</v>
      </c>
      <c r="J20" s="53">
        <f t="shared" si="5"/>
        <v>47.291599999999995</v>
      </c>
      <c r="K20" s="56">
        <f t="shared" si="6"/>
        <v>7.8819333333333326</v>
      </c>
      <c r="L20" s="58">
        <f t="shared" si="7"/>
        <v>7.8819333333333326</v>
      </c>
      <c r="N20" s="32">
        <f>'Tabel Offset'!$A21</f>
        <v>12</v>
      </c>
      <c r="O20" s="47">
        <f>IF(N20="AP",0,IF(N20="FP",'Tabel Offset'!$AA$4,N20/20*'Tabel Offset'!$AA$4))</f>
        <v>57.041999999999994</v>
      </c>
      <c r="P20" s="29">
        <f>'Tabel Offset'!D21</f>
        <v>8.1440000000000001</v>
      </c>
      <c r="Q20" s="42">
        <f t="shared" si="111"/>
        <v>8.1440000000000001</v>
      </c>
      <c r="R20" s="29">
        <f>'Tabel Offset'!E21</f>
        <v>8.1440000000000001</v>
      </c>
      <c r="S20" s="42">
        <f t="shared" si="112"/>
        <v>32.576000000000001</v>
      </c>
      <c r="T20" s="29">
        <f>'Tabel Offset'!F21</f>
        <v>8.1440000000000001</v>
      </c>
      <c r="U20" s="39">
        <f t="shared" si="113"/>
        <v>8.1440000000000001</v>
      </c>
      <c r="V20" s="53">
        <f t="shared" si="114"/>
        <v>48.863999999999997</v>
      </c>
      <c r="W20" s="56">
        <f t="shared" si="115"/>
        <v>8.1439999999999984</v>
      </c>
      <c r="X20" s="59">
        <f t="shared" si="116"/>
        <v>16.025933333333331</v>
      </c>
      <c r="Z20" s="32">
        <f>'Tabel Offset'!$A21</f>
        <v>12</v>
      </c>
      <c r="AA20" s="47">
        <f>IF(Z20="AP",0,IF(Z20="FP",'Tabel Offset'!$AA$4,Z20/20*'Tabel Offset'!$AA$4))</f>
        <v>57.041999999999994</v>
      </c>
      <c r="AB20" s="29">
        <f>'Tabel Offset'!F21</f>
        <v>8.1440000000000001</v>
      </c>
      <c r="AC20" s="42">
        <f t="shared" si="14"/>
        <v>8.1440000000000001</v>
      </c>
      <c r="AD20" s="29">
        <f>'Tabel Offset'!G21</f>
        <v>8.1440000000000001</v>
      </c>
      <c r="AE20" s="42">
        <f t="shared" si="15"/>
        <v>32.576000000000001</v>
      </c>
      <c r="AF20" s="29">
        <f>'Tabel Offset'!H21</f>
        <v>8.1440000000000001</v>
      </c>
      <c r="AG20" s="39">
        <f t="shared" si="16"/>
        <v>8.1440000000000001</v>
      </c>
      <c r="AH20" s="53">
        <f t="shared" si="17"/>
        <v>48.863999999999997</v>
      </c>
      <c r="AI20" s="56">
        <f t="shared" si="18"/>
        <v>16.287999999999997</v>
      </c>
      <c r="AJ20" s="59">
        <f t="shared" si="19"/>
        <v>32.313933333333324</v>
      </c>
      <c r="AL20" s="32">
        <f>'Tabel Offset'!$A21</f>
        <v>12</v>
      </c>
      <c r="AM20" s="47">
        <f>IF(AL20="AP",0,IF(AL20="FP",'Tabel Offset'!$AA$4,AL20/20*'Tabel Offset'!$AA$4))</f>
        <v>57.041999999999994</v>
      </c>
      <c r="AN20" s="29">
        <f>'Tabel Offset'!H21</f>
        <v>8.1440000000000001</v>
      </c>
      <c r="AO20" s="42">
        <f t="shared" si="20"/>
        <v>8.1440000000000001</v>
      </c>
      <c r="AP20" s="90">
        <f>'Tabel Offset'!I21</f>
        <v>8.1440000000000001</v>
      </c>
      <c r="AQ20" s="42">
        <f t="shared" si="21"/>
        <v>32.576000000000001</v>
      </c>
      <c r="AR20" s="29">
        <f>'Tabel Offset'!J21</f>
        <v>8.1440000000000001</v>
      </c>
      <c r="AS20" s="39">
        <f t="shared" si="22"/>
        <v>8.1440000000000001</v>
      </c>
      <c r="AT20" s="53">
        <f t="shared" si="23"/>
        <v>48.863999999999997</v>
      </c>
      <c r="AU20" s="56">
        <f t="shared" si="24"/>
        <v>16.287999999999997</v>
      </c>
      <c r="AV20" s="59">
        <f t="shared" si="25"/>
        <v>48.601933333333321</v>
      </c>
      <c r="AX20" s="44">
        <f>'Tabel Offset'!$A21</f>
        <v>12</v>
      </c>
      <c r="AY20" s="47">
        <f>IF(AX20="AP",0,IF(AX20="FP",'Tabel Offset'!$AA$4,AX20/20*'Tabel Offset'!$AA$4))</f>
        <v>57.041999999999994</v>
      </c>
      <c r="AZ20" s="29">
        <f>'Tabel Offset'!J21</f>
        <v>8.1440000000000001</v>
      </c>
      <c r="BA20" s="42">
        <f t="shared" si="26"/>
        <v>8.1440000000000001</v>
      </c>
      <c r="BB20" s="29">
        <f>'Tabel Offset'!K21</f>
        <v>8.1440000000000001</v>
      </c>
      <c r="BC20" s="42">
        <f t="shared" si="27"/>
        <v>32.576000000000001</v>
      </c>
      <c r="BD20" s="29">
        <f>'Tabel Offset'!L21</f>
        <v>8.1440000000000001</v>
      </c>
      <c r="BE20" s="39">
        <f t="shared" si="28"/>
        <v>8.1440000000000001</v>
      </c>
      <c r="BF20" s="53">
        <f t="shared" si="29"/>
        <v>48.863999999999997</v>
      </c>
      <c r="BG20" s="56">
        <f t="shared" si="30"/>
        <v>16.287999999999997</v>
      </c>
      <c r="BH20" s="59">
        <f t="shared" si="31"/>
        <v>64.889933333333317</v>
      </c>
      <c r="BJ20" s="44">
        <f>'Tabel Offset'!$A21</f>
        <v>12</v>
      </c>
      <c r="BK20" s="47">
        <f>IF(BJ20="AP",0,IF(BJ20="FP",'Tabel Offset'!$AA$4,BJ20/20*'Tabel Offset'!$AA$4))</f>
        <v>57.041999999999994</v>
      </c>
      <c r="BL20" s="29">
        <f>'Tabel Offset'!L21</f>
        <v>8.1440000000000001</v>
      </c>
      <c r="BM20" s="42">
        <f t="shared" si="32"/>
        <v>8.1440000000000001</v>
      </c>
      <c r="BN20" s="29">
        <f>'Tabel Offset'!M21</f>
        <v>8.1440000000000001</v>
      </c>
      <c r="BO20" s="42">
        <f t="shared" si="33"/>
        <v>32.576000000000001</v>
      </c>
      <c r="BP20" s="29">
        <f>'Tabel Offset'!N21</f>
        <v>8.1440000000000001</v>
      </c>
      <c r="BQ20" s="39">
        <f t="shared" si="34"/>
        <v>8.1440000000000001</v>
      </c>
      <c r="BR20" s="53">
        <f t="shared" si="35"/>
        <v>48.863999999999997</v>
      </c>
      <c r="BS20" s="56">
        <f t="shared" si="36"/>
        <v>16.287999999999997</v>
      </c>
      <c r="BT20" s="59">
        <f t="shared" si="37"/>
        <v>81.177933333333314</v>
      </c>
      <c r="BV20" s="44">
        <f>'Tabel Offset'!$A21</f>
        <v>12</v>
      </c>
      <c r="BW20" s="47">
        <f>IF(BV20="AP",0,IF(BV20="FP",'Tabel Offset'!$AA$4,BV20/20*'Tabel Offset'!$AA$4))</f>
        <v>57.041999999999994</v>
      </c>
      <c r="BX20" s="29">
        <f>'Tabel Offset'!N21</f>
        <v>8.1440000000000001</v>
      </c>
      <c r="BY20" s="42">
        <f t="shared" si="38"/>
        <v>8.1440000000000001</v>
      </c>
      <c r="BZ20" s="29">
        <f>'Tabel Offset'!O21</f>
        <v>8.1440000000000001</v>
      </c>
      <c r="CA20" s="42">
        <f t="shared" si="39"/>
        <v>32.576000000000001</v>
      </c>
      <c r="CB20" s="31">
        <f>'Tabel Offset'!P21</f>
        <v>8.1440000000000001</v>
      </c>
      <c r="CC20" s="39">
        <f t="shared" si="40"/>
        <v>8.1440000000000001</v>
      </c>
      <c r="CD20" s="53">
        <f t="shared" si="41"/>
        <v>48.863999999999997</v>
      </c>
      <c r="CE20" s="56">
        <f t="shared" si="42"/>
        <v>16.287999999999997</v>
      </c>
      <c r="CF20" s="59">
        <f t="shared" si="43"/>
        <v>97.465933333333311</v>
      </c>
      <c r="CH20" s="44">
        <f>'Tabel Offset'!$A21</f>
        <v>12</v>
      </c>
      <c r="CI20" s="47">
        <f>IF(CH20="AP",0,IF(CH20="FP",'Tabel Offset'!$AA$4,CH20/20*'Tabel Offset'!$AA$4))</f>
        <v>57.041999999999994</v>
      </c>
      <c r="CJ20" s="31">
        <f>'Tabel Offset'!P21</f>
        <v>8.1440000000000001</v>
      </c>
      <c r="CK20" s="42">
        <f t="shared" si="44"/>
        <v>8.1440000000000001</v>
      </c>
      <c r="CL20" s="31">
        <f>'Tabel Offset'!Q21</f>
        <v>8.1440000000000001</v>
      </c>
      <c r="CM20" s="42">
        <f t="shared" si="45"/>
        <v>32.576000000000001</v>
      </c>
      <c r="CN20" s="31">
        <f>'Tabel Offset'!R21</f>
        <v>8.1440000000000001</v>
      </c>
      <c r="CO20" s="39">
        <f t="shared" si="46"/>
        <v>8.1440000000000001</v>
      </c>
      <c r="CP20" s="53">
        <f t="shared" si="47"/>
        <v>48.863999999999997</v>
      </c>
      <c r="CQ20" s="56">
        <f t="shared" si="48"/>
        <v>8.1439999999999984</v>
      </c>
      <c r="CR20" s="59">
        <f t="shared" si="49"/>
        <v>105.60993333333332</v>
      </c>
      <c r="CT20" s="44">
        <f>'Tabel Offset'!$A21</f>
        <v>12</v>
      </c>
      <c r="CU20" s="47">
        <f>IF(CT20="AP",0,IF(CT20="FP",'Tabel Offset'!$AA$4,CT20/20*'Tabel Offset'!$AA$4))</f>
        <v>57.041999999999994</v>
      </c>
      <c r="CV20" s="31">
        <f>'Tabel Offset'!R21</f>
        <v>8.1440000000000001</v>
      </c>
      <c r="CW20" s="42">
        <f t="shared" si="117"/>
        <v>8.1440000000000001</v>
      </c>
      <c r="CX20" s="31">
        <f>'Tabel Offset'!S21</f>
        <v>8.1440000000000001</v>
      </c>
      <c r="CY20" s="42">
        <f t="shared" si="118"/>
        <v>32.576000000000001</v>
      </c>
      <c r="CZ20" s="31">
        <f>'Tabel Offset'!T21</f>
        <v>8.1440000000000001</v>
      </c>
      <c r="DA20" s="39">
        <f t="shared" si="119"/>
        <v>8.1440000000000001</v>
      </c>
      <c r="DB20" s="53">
        <f t="shared" si="120"/>
        <v>48.863999999999997</v>
      </c>
      <c r="DC20" s="56">
        <f t="shared" si="121"/>
        <v>11.401600000000002</v>
      </c>
      <c r="DD20" s="59">
        <f t="shared" si="122"/>
        <v>117.01153333333332</v>
      </c>
      <c r="DF20" s="44">
        <f>'Tabel Offset'!$A21</f>
        <v>12</v>
      </c>
      <c r="DG20" s="47">
        <f>IF(DF20="AP",0,IF(DF20="FP",'Tabel Offset'!$AA$4,DF20/20*'Tabel Offset'!$AA$4))</f>
        <v>57.041999999999994</v>
      </c>
      <c r="DH20" s="31">
        <f>'Tabel Offset'!T21</f>
        <v>8.1440000000000001</v>
      </c>
      <c r="DI20" s="42">
        <f t="shared" si="123"/>
        <v>8.1440000000000001</v>
      </c>
      <c r="DJ20" s="31">
        <f>'Tabel Offset'!U21</f>
        <v>8.1440000000000001</v>
      </c>
      <c r="DK20" s="42">
        <f t="shared" si="124"/>
        <v>32.576000000000001</v>
      </c>
      <c r="DL20" s="31">
        <f>'Tabel Offset'!V21</f>
        <v>8.1440000000000001</v>
      </c>
      <c r="DM20" s="39">
        <f t="shared" si="125"/>
        <v>8.1440000000000001</v>
      </c>
      <c r="DN20" s="53">
        <f t="shared" si="126"/>
        <v>48.863999999999997</v>
      </c>
      <c r="DO20" s="56">
        <f t="shared" si="127"/>
        <v>11.401600000000002</v>
      </c>
      <c r="DP20" s="59">
        <f t="shared" si="128"/>
        <v>128.41313333333332</v>
      </c>
      <c r="DR20" s="44">
        <f>'Tabel Offset'!$A21</f>
        <v>12</v>
      </c>
      <c r="DS20" s="47">
        <f>IF(DR20="AP",0,IF(DR20="FP",'Tabel Offset'!$AA$4,DR20/20*'Tabel Offset'!$AA$4))</f>
        <v>57.041999999999994</v>
      </c>
      <c r="DT20" s="31">
        <f>'Tabel Offset'!V21</f>
        <v>8.1440000000000001</v>
      </c>
      <c r="DU20" s="42">
        <f t="shared" si="129"/>
        <v>8.1440000000000001</v>
      </c>
      <c r="DV20" s="74">
        <v>8.1440000000000001</v>
      </c>
      <c r="DW20" s="42">
        <f t="shared" si="130"/>
        <v>32.576000000000001</v>
      </c>
      <c r="DX20" s="77">
        <f t="shared" si="131"/>
        <v>7.9721000000000002</v>
      </c>
      <c r="DY20" s="74">
        <v>7.2220000000000004</v>
      </c>
      <c r="DZ20" s="39">
        <f t="shared" si="0"/>
        <v>7.2220000000000004</v>
      </c>
      <c r="EA20" s="74">
        <v>8.0442</v>
      </c>
      <c r="EB20" s="53">
        <f t="shared" si="1"/>
        <v>47.942</v>
      </c>
      <c r="EC20" s="56">
        <f t="shared" si="132"/>
        <v>2.3044121333333276</v>
      </c>
      <c r="ED20" s="59">
        <f t="shared" si="68"/>
        <v>130.71754546666665</v>
      </c>
    </row>
    <row r="21" spans="1:134" ht="14.4" thickBot="1" x14ac:dyDescent="0.35">
      <c r="A21" s="23"/>
      <c r="B21" s="130">
        <f>'Tabel Offset'!$A22</f>
        <v>13</v>
      </c>
      <c r="C21" s="47">
        <f>IF(B21="AP",0,IF(B21="FP",'Tabel Offset'!$AA$4,B21/20*'Tabel Offset'!$AA$4))</f>
        <v>61.795499999999997</v>
      </c>
      <c r="D21" s="50">
        <f>'Tabel Offset'!B22</f>
        <v>6.8470000000000004</v>
      </c>
      <c r="E21" s="47">
        <f t="shared" si="2"/>
        <v>6.8470000000000004</v>
      </c>
      <c r="F21" s="50">
        <f>'Tabel Offset'!C22</f>
        <v>8.1440000000000001</v>
      </c>
      <c r="G21" s="88">
        <f t="shared" si="3"/>
        <v>32.576000000000001</v>
      </c>
      <c r="H21" s="29">
        <f>'Tabel Offset'!D22</f>
        <v>8.1440000000000001</v>
      </c>
      <c r="I21" s="39">
        <f t="shared" si="4"/>
        <v>8.1440000000000001</v>
      </c>
      <c r="J21" s="53">
        <f t="shared" si="5"/>
        <v>47.567</v>
      </c>
      <c r="K21" s="56">
        <f t="shared" si="6"/>
        <v>7.9278333333333331</v>
      </c>
      <c r="L21" s="58">
        <f t="shared" si="7"/>
        <v>7.9278333333333331</v>
      </c>
      <c r="N21" s="32">
        <f>'Tabel Offset'!$A22</f>
        <v>13</v>
      </c>
      <c r="O21" s="47">
        <f>IF(N21="AP",0,IF(N21="FP",'Tabel Offset'!$AA$4,N21/20*'Tabel Offset'!$AA$4))</f>
        <v>61.795499999999997</v>
      </c>
      <c r="P21" s="29">
        <f>'Tabel Offset'!D21</f>
        <v>8.1440000000000001</v>
      </c>
      <c r="Q21" s="42">
        <f t="shared" si="111"/>
        <v>8.1440000000000001</v>
      </c>
      <c r="R21" s="29">
        <f>'Tabel Offset'!E22</f>
        <v>8.1440000000000001</v>
      </c>
      <c r="S21" s="42">
        <f t="shared" si="112"/>
        <v>32.576000000000001</v>
      </c>
      <c r="T21" s="29">
        <f>'Tabel Offset'!F22</f>
        <v>8.1440000000000001</v>
      </c>
      <c r="U21" s="39">
        <f t="shared" si="113"/>
        <v>8.1440000000000001</v>
      </c>
      <c r="V21" s="53">
        <f t="shared" si="114"/>
        <v>48.863999999999997</v>
      </c>
      <c r="W21" s="56">
        <f t="shared" si="115"/>
        <v>8.1439999999999984</v>
      </c>
      <c r="X21" s="59">
        <f t="shared" si="116"/>
        <v>16.071833333333331</v>
      </c>
      <c r="Z21" s="32">
        <f>'Tabel Offset'!$A22</f>
        <v>13</v>
      </c>
      <c r="AA21" s="47">
        <f>IF(Z21="AP",0,IF(Z21="FP",'Tabel Offset'!$AA$4,Z21/20*'Tabel Offset'!$AA$4))</f>
        <v>61.795499999999997</v>
      </c>
      <c r="AB21" s="29">
        <f>'Tabel Offset'!F22</f>
        <v>8.1440000000000001</v>
      </c>
      <c r="AC21" s="42">
        <f t="shared" si="14"/>
        <v>8.1440000000000001</v>
      </c>
      <c r="AD21" s="29">
        <f>'Tabel Offset'!G22</f>
        <v>8.1440000000000001</v>
      </c>
      <c r="AE21" s="42">
        <f t="shared" si="15"/>
        <v>32.576000000000001</v>
      </c>
      <c r="AF21" s="29">
        <f>'Tabel Offset'!H22</f>
        <v>8.1440000000000001</v>
      </c>
      <c r="AG21" s="39">
        <f t="shared" si="16"/>
        <v>8.1440000000000001</v>
      </c>
      <c r="AH21" s="53">
        <f t="shared" si="17"/>
        <v>48.863999999999997</v>
      </c>
      <c r="AI21" s="56">
        <f t="shared" si="18"/>
        <v>16.287999999999997</v>
      </c>
      <c r="AJ21" s="59">
        <f t="shared" si="19"/>
        <v>32.359833333333327</v>
      </c>
      <c r="AL21" s="32">
        <f>'Tabel Offset'!$A22</f>
        <v>13</v>
      </c>
      <c r="AM21" s="47">
        <f>IF(AL21="AP",0,IF(AL21="FP",'Tabel Offset'!$AA$4,AL21/20*'Tabel Offset'!$AA$4))</f>
        <v>61.795499999999997</v>
      </c>
      <c r="AN21" s="29">
        <f>'Tabel Offset'!H22</f>
        <v>8.1440000000000001</v>
      </c>
      <c r="AO21" s="42">
        <f t="shared" si="20"/>
        <v>8.1440000000000001</v>
      </c>
      <c r="AP21" s="90">
        <f>'Tabel Offset'!I22</f>
        <v>8.1440000000000001</v>
      </c>
      <c r="AQ21" s="42">
        <f t="shared" si="21"/>
        <v>32.576000000000001</v>
      </c>
      <c r="AR21" s="29">
        <f>'Tabel Offset'!J22</f>
        <v>8.1440000000000001</v>
      </c>
      <c r="AS21" s="39">
        <f t="shared" si="22"/>
        <v>8.1440000000000001</v>
      </c>
      <c r="AT21" s="53">
        <f t="shared" si="23"/>
        <v>48.863999999999997</v>
      </c>
      <c r="AU21" s="56">
        <f t="shared" si="24"/>
        <v>16.287999999999997</v>
      </c>
      <c r="AV21" s="59">
        <f t="shared" si="25"/>
        <v>48.647833333333324</v>
      </c>
      <c r="AX21" s="44">
        <f>'Tabel Offset'!$A22</f>
        <v>13</v>
      </c>
      <c r="AY21" s="47">
        <f>IF(AX21="AP",0,IF(AX21="FP",'Tabel Offset'!$AA$4,AX21/20*'Tabel Offset'!$AA$4))</f>
        <v>61.795499999999997</v>
      </c>
      <c r="AZ21" s="29">
        <f>'Tabel Offset'!J22</f>
        <v>8.1440000000000001</v>
      </c>
      <c r="BA21" s="42">
        <f t="shared" si="26"/>
        <v>8.1440000000000001</v>
      </c>
      <c r="BB21" s="29">
        <f>'Tabel Offset'!K22</f>
        <v>8.1440000000000001</v>
      </c>
      <c r="BC21" s="42">
        <f t="shared" si="27"/>
        <v>32.576000000000001</v>
      </c>
      <c r="BD21" s="29">
        <f>'Tabel Offset'!L22</f>
        <v>8.1440000000000001</v>
      </c>
      <c r="BE21" s="39">
        <f t="shared" si="28"/>
        <v>8.1440000000000001</v>
      </c>
      <c r="BF21" s="53">
        <f t="shared" si="29"/>
        <v>48.863999999999997</v>
      </c>
      <c r="BG21" s="56">
        <f t="shared" si="30"/>
        <v>16.287999999999997</v>
      </c>
      <c r="BH21" s="59">
        <f t="shared" si="31"/>
        <v>64.935833333333321</v>
      </c>
      <c r="BJ21" s="44">
        <f>'Tabel Offset'!$A22</f>
        <v>13</v>
      </c>
      <c r="BK21" s="47">
        <f>IF(BJ21="AP",0,IF(BJ21="FP",'Tabel Offset'!$AA$4,BJ21/20*'Tabel Offset'!$AA$4))</f>
        <v>61.795499999999997</v>
      </c>
      <c r="BL21" s="29">
        <f>'Tabel Offset'!L22</f>
        <v>8.1440000000000001</v>
      </c>
      <c r="BM21" s="42">
        <f t="shared" si="32"/>
        <v>8.1440000000000001</v>
      </c>
      <c r="BN21" s="29">
        <f>'Tabel Offset'!M22</f>
        <v>8.1440000000000001</v>
      </c>
      <c r="BO21" s="42">
        <f t="shared" si="33"/>
        <v>32.576000000000001</v>
      </c>
      <c r="BP21" s="29">
        <f>'Tabel Offset'!N22</f>
        <v>8.1440000000000001</v>
      </c>
      <c r="BQ21" s="39">
        <f t="shared" si="34"/>
        <v>8.1440000000000001</v>
      </c>
      <c r="BR21" s="53">
        <f t="shared" si="35"/>
        <v>48.863999999999997</v>
      </c>
      <c r="BS21" s="56">
        <f t="shared" si="36"/>
        <v>16.287999999999997</v>
      </c>
      <c r="BT21" s="59">
        <f t="shared" si="37"/>
        <v>81.223833333333317</v>
      </c>
      <c r="BV21" s="44">
        <f>'Tabel Offset'!$A22</f>
        <v>13</v>
      </c>
      <c r="BW21" s="47">
        <f>IF(BV21="AP",0,IF(BV21="FP",'Tabel Offset'!$AA$4,BV21/20*'Tabel Offset'!$AA$4))</f>
        <v>61.795499999999997</v>
      </c>
      <c r="BX21" s="29">
        <f>'Tabel Offset'!N22</f>
        <v>8.1440000000000001</v>
      </c>
      <c r="BY21" s="42">
        <f t="shared" si="38"/>
        <v>8.1440000000000001</v>
      </c>
      <c r="BZ21" s="29">
        <f>'Tabel Offset'!O22</f>
        <v>8.1440000000000001</v>
      </c>
      <c r="CA21" s="42">
        <f t="shared" si="39"/>
        <v>32.576000000000001</v>
      </c>
      <c r="CB21" s="31">
        <f>'Tabel Offset'!P22</f>
        <v>8.1440000000000001</v>
      </c>
      <c r="CC21" s="39">
        <f t="shared" si="40"/>
        <v>8.1440000000000001</v>
      </c>
      <c r="CD21" s="53">
        <f t="shared" si="41"/>
        <v>48.863999999999997</v>
      </c>
      <c r="CE21" s="56">
        <f t="shared" si="42"/>
        <v>16.287999999999997</v>
      </c>
      <c r="CF21" s="59">
        <f t="shared" si="43"/>
        <v>97.511833333333314</v>
      </c>
      <c r="CH21" s="44">
        <f>'Tabel Offset'!$A22</f>
        <v>13</v>
      </c>
      <c r="CI21" s="47">
        <f>IF(CH21="AP",0,IF(CH21="FP",'Tabel Offset'!$AA$4,CH21/20*'Tabel Offset'!$AA$4))</f>
        <v>61.795499999999997</v>
      </c>
      <c r="CJ21" s="31">
        <f>'Tabel Offset'!P22</f>
        <v>8.1440000000000001</v>
      </c>
      <c r="CK21" s="42">
        <f t="shared" si="44"/>
        <v>8.1440000000000001</v>
      </c>
      <c r="CL21" s="31">
        <f>'Tabel Offset'!Q22</f>
        <v>8.1440000000000001</v>
      </c>
      <c r="CM21" s="42">
        <f t="shared" si="45"/>
        <v>32.576000000000001</v>
      </c>
      <c r="CN21" s="31">
        <f>'Tabel Offset'!R22</f>
        <v>8.1440000000000001</v>
      </c>
      <c r="CO21" s="39">
        <f t="shared" si="46"/>
        <v>8.1440000000000001</v>
      </c>
      <c r="CP21" s="53">
        <f t="shared" si="47"/>
        <v>48.863999999999997</v>
      </c>
      <c r="CQ21" s="56">
        <f t="shared" si="48"/>
        <v>8.1439999999999984</v>
      </c>
      <c r="CR21" s="59">
        <f t="shared" si="49"/>
        <v>105.65583333333331</v>
      </c>
      <c r="CT21" s="44">
        <f>'Tabel Offset'!$A22</f>
        <v>13</v>
      </c>
      <c r="CU21" s="47">
        <f>IF(CT21="AP",0,IF(CT21="FP",'Tabel Offset'!$AA$4,CT21/20*'Tabel Offset'!$AA$4))</f>
        <v>61.795499999999997</v>
      </c>
      <c r="CV21" s="31">
        <f>'Tabel Offset'!R22</f>
        <v>8.1440000000000001</v>
      </c>
      <c r="CW21" s="42">
        <f t="shared" si="117"/>
        <v>8.1440000000000001</v>
      </c>
      <c r="CX21" s="31">
        <f>'Tabel Offset'!S22</f>
        <v>8.1440000000000001</v>
      </c>
      <c r="CY21" s="42">
        <f t="shared" si="118"/>
        <v>32.576000000000001</v>
      </c>
      <c r="CZ21" s="31">
        <f>'Tabel Offset'!T22</f>
        <v>8.1440000000000001</v>
      </c>
      <c r="DA21" s="39">
        <f t="shared" si="119"/>
        <v>8.1440000000000001</v>
      </c>
      <c r="DB21" s="53">
        <f t="shared" si="120"/>
        <v>48.863999999999997</v>
      </c>
      <c r="DC21" s="56">
        <f t="shared" si="121"/>
        <v>11.401600000000002</v>
      </c>
      <c r="DD21" s="59">
        <f t="shared" si="122"/>
        <v>117.05743333333331</v>
      </c>
      <c r="DF21" s="44">
        <f>'Tabel Offset'!$A22</f>
        <v>13</v>
      </c>
      <c r="DG21" s="47">
        <f>IF(DF21="AP",0,IF(DF21="FP",'Tabel Offset'!$AA$4,DF21/20*'Tabel Offset'!$AA$4))</f>
        <v>61.795499999999997</v>
      </c>
      <c r="DH21" s="31">
        <f>'Tabel Offset'!T22</f>
        <v>8.1440000000000001</v>
      </c>
      <c r="DI21" s="42">
        <f t="shared" si="123"/>
        <v>8.1440000000000001</v>
      </c>
      <c r="DJ21" s="31">
        <f>'Tabel Offset'!U22</f>
        <v>8.1440000000000001</v>
      </c>
      <c r="DK21" s="42">
        <f t="shared" si="124"/>
        <v>32.576000000000001</v>
      </c>
      <c r="DL21" s="31">
        <f>'Tabel Offset'!V22</f>
        <v>8.1440000000000001</v>
      </c>
      <c r="DM21" s="39">
        <f t="shared" si="125"/>
        <v>8.1440000000000001</v>
      </c>
      <c r="DN21" s="53">
        <f t="shared" si="126"/>
        <v>48.863999999999997</v>
      </c>
      <c r="DO21" s="56">
        <f t="shared" si="127"/>
        <v>11.401600000000002</v>
      </c>
      <c r="DP21" s="59">
        <f t="shared" si="128"/>
        <v>128.45903333333331</v>
      </c>
      <c r="DR21" s="44">
        <f>'Tabel Offset'!$A22</f>
        <v>13</v>
      </c>
      <c r="DS21" s="47">
        <f>IF(DR21="AP",0,IF(DR21="FP",'Tabel Offset'!$AA$4,DR21/20*'Tabel Offset'!$AA$4))</f>
        <v>61.795499999999997</v>
      </c>
      <c r="DT21" s="31">
        <f>'Tabel Offset'!V22</f>
        <v>8.1440000000000001</v>
      </c>
      <c r="DU21" s="42">
        <f t="shared" si="129"/>
        <v>8.1440000000000001</v>
      </c>
      <c r="DV21" s="74">
        <v>8.1440000000000001</v>
      </c>
      <c r="DW21" s="42">
        <f t="shared" si="130"/>
        <v>32.576000000000001</v>
      </c>
      <c r="DX21" s="77">
        <f t="shared" si="131"/>
        <v>8.0441000000000003</v>
      </c>
      <c r="DY21" s="74">
        <v>7.2140000000000004</v>
      </c>
      <c r="DZ21" s="39">
        <f t="shared" si="0"/>
        <v>7.2140000000000004</v>
      </c>
      <c r="EA21" s="74">
        <v>8.1882000000000001</v>
      </c>
      <c r="EB21" s="53">
        <f t="shared" si="1"/>
        <v>47.933999999999997</v>
      </c>
      <c r="EC21" s="56">
        <f t="shared" si="132"/>
        <v>4.6048595999999966</v>
      </c>
      <c r="ED21" s="59">
        <f t="shared" si="68"/>
        <v>133.06389293333331</v>
      </c>
    </row>
    <row r="22" spans="1:134" ht="14.4" thickBot="1" x14ac:dyDescent="0.35">
      <c r="A22" s="24"/>
      <c r="B22" s="130">
        <f>'Tabel Offset'!$A23</f>
        <v>14</v>
      </c>
      <c r="C22" s="47">
        <f>IF(B22="AP",0,IF(B22="FP",'Tabel Offset'!$AA$4,B22/20*'Tabel Offset'!$AA$4))</f>
        <v>66.548999999999992</v>
      </c>
      <c r="D22" s="50">
        <f>'Tabel Offset'!B23</f>
        <v>6.6970000000000001</v>
      </c>
      <c r="E22" s="47">
        <f t="shared" si="2"/>
        <v>6.6970000000000001</v>
      </c>
      <c r="F22" s="50">
        <f>'Tabel Offset'!C23</f>
        <v>7.8209999999999997</v>
      </c>
      <c r="G22" s="88">
        <f t="shared" si="3"/>
        <v>31.283999999999999</v>
      </c>
      <c r="H22" s="29">
        <f>'Tabel Offset'!D23</f>
        <v>8.0076000000000001</v>
      </c>
      <c r="I22" s="39">
        <f t="shared" si="4"/>
        <v>8.0076000000000001</v>
      </c>
      <c r="J22" s="53">
        <f t="shared" si="5"/>
        <v>45.988600000000005</v>
      </c>
      <c r="K22" s="56">
        <f t="shared" si="6"/>
        <v>7.6647666666666669</v>
      </c>
      <c r="L22" s="58">
        <f t="shared" si="7"/>
        <v>7.6647666666666669</v>
      </c>
      <c r="N22" s="32">
        <f>'Tabel Offset'!$A23</f>
        <v>14</v>
      </c>
      <c r="O22" s="47">
        <f>IF(N22="AP",0,IF(N22="FP",'Tabel Offset'!$AA$4,N22/20*'Tabel Offset'!$AA$4))</f>
        <v>66.548999999999992</v>
      </c>
      <c r="P22" s="29">
        <f>'Tabel Offset'!D23</f>
        <v>8.0076000000000001</v>
      </c>
      <c r="Q22" s="42">
        <f t="shared" si="111"/>
        <v>8.0076000000000001</v>
      </c>
      <c r="R22" s="29">
        <f>'Tabel Offset'!E23</f>
        <v>8.0839999999999996</v>
      </c>
      <c r="S22" s="42">
        <f t="shared" si="112"/>
        <v>32.335999999999999</v>
      </c>
      <c r="T22" s="29">
        <f>'Tabel Offset'!F23</f>
        <v>8.1143999999999998</v>
      </c>
      <c r="U22" s="39">
        <f t="shared" si="113"/>
        <v>8.1143999999999998</v>
      </c>
      <c r="V22" s="53">
        <f t="shared" si="114"/>
        <v>48.457999999999998</v>
      </c>
      <c r="W22" s="56">
        <f t="shared" si="115"/>
        <v>8.0763333333333325</v>
      </c>
      <c r="X22" s="59">
        <f t="shared" si="116"/>
        <v>15.741099999999999</v>
      </c>
      <c r="Z22" s="32">
        <f>'Tabel Offset'!$A23</f>
        <v>14</v>
      </c>
      <c r="AA22" s="47">
        <f>IF(Z22="AP",0,IF(Z22="FP",'Tabel Offset'!$AA$4,Z22/20*'Tabel Offset'!$AA$4))</f>
        <v>66.548999999999992</v>
      </c>
      <c r="AB22" s="29">
        <f>'Tabel Offset'!F23</f>
        <v>8.1143999999999998</v>
      </c>
      <c r="AC22" s="42">
        <f t="shared" si="14"/>
        <v>8.1143999999999998</v>
      </c>
      <c r="AD22" s="29">
        <f>'Tabel Offset'!G23</f>
        <v>8.1303999999999998</v>
      </c>
      <c r="AE22" s="42">
        <f t="shared" si="15"/>
        <v>32.521599999999999</v>
      </c>
      <c r="AF22" s="29">
        <f>'Tabel Offset'!H23</f>
        <v>8.1372999999999998</v>
      </c>
      <c r="AG22" s="39">
        <f t="shared" si="16"/>
        <v>8.1372999999999998</v>
      </c>
      <c r="AH22" s="53">
        <f t="shared" si="17"/>
        <v>48.773299999999992</v>
      </c>
      <c r="AI22" s="56">
        <f t="shared" si="18"/>
        <v>16.257766666666662</v>
      </c>
      <c r="AJ22" s="59">
        <f t="shared" si="19"/>
        <v>31.998866666666661</v>
      </c>
      <c r="AL22" s="32">
        <f>'Tabel Offset'!$A23</f>
        <v>14</v>
      </c>
      <c r="AM22" s="47">
        <f>IF(AL22="AP",0,IF(AL22="FP",'Tabel Offset'!$AA$4,AL22/20*'Tabel Offset'!$AA$4))</f>
        <v>66.548999999999992</v>
      </c>
      <c r="AN22" s="29">
        <f>'Tabel Offset'!H23</f>
        <v>8.1372999999999998</v>
      </c>
      <c r="AO22" s="42">
        <f t="shared" si="20"/>
        <v>8.1372999999999998</v>
      </c>
      <c r="AP22" s="90">
        <f>'Tabel Offset'!I23</f>
        <v>8.1411999999999995</v>
      </c>
      <c r="AQ22" s="42">
        <f t="shared" si="21"/>
        <v>32.564799999999998</v>
      </c>
      <c r="AR22" s="29">
        <f>'Tabel Offset'!J23</f>
        <v>8.1434999999999995</v>
      </c>
      <c r="AS22" s="39">
        <f t="shared" si="22"/>
        <v>8.1434999999999995</v>
      </c>
      <c r="AT22" s="53">
        <f t="shared" si="23"/>
        <v>48.845600000000005</v>
      </c>
      <c r="AU22" s="56">
        <f t="shared" si="24"/>
        <v>16.281866666666666</v>
      </c>
      <c r="AV22" s="59">
        <f t="shared" si="25"/>
        <v>48.28073333333333</v>
      </c>
      <c r="AX22" s="44">
        <f>'Tabel Offset'!$A23</f>
        <v>14</v>
      </c>
      <c r="AY22" s="47">
        <f>IF(AX22="AP",0,IF(AX22="FP",'Tabel Offset'!$AA$4,AX22/20*'Tabel Offset'!$AA$4))</f>
        <v>66.548999999999992</v>
      </c>
      <c r="AZ22" s="29">
        <f>'Tabel Offset'!J23</f>
        <v>8.1434999999999995</v>
      </c>
      <c r="BA22" s="42">
        <f t="shared" si="26"/>
        <v>8.1434999999999995</v>
      </c>
      <c r="BB22" s="29">
        <f>'Tabel Offset'!K23</f>
        <v>8.1440000000000001</v>
      </c>
      <c r="BC22" s="42">
        <f t="shared" si="27"/>
        <v>32.576000000000001</v>
      </c>
      <c r="BD22" s="29">
        <f>'Tabel Offset'!L23</f>
        <v>8.1440000000000001</v>
      </c>
      <c r="BE22" s="39">
        <f t="shared" si="28"/>
        <v>8.1440000000000001</v>
      </c>
      <c r="BF22" s="53">
        <f t="shared" si="29"/>
        <v>48.863499999999995</v>
      </c>
      <c r="BG22" s="56">
        <f t="shared" si="30"/>
        <v>16.287833333333332</v>
      </c>
      <c r="BH22" s="59">
        <f t="shared" si="31"/>
        <v>64.568566666666669</v>
      </c>
      <c r="BJ22" s="44">
        <f>'Tabel Offset'!$A23</f>
        <v>14</v>
      </c>
      <c r="BK22" s="47">
        <f>IF(BJ22="AP",0,IF(BJ22="FP",'Tabel Offset'!$AA$4,BJ22/20*'Tabel Offset'!$AA$4))</f>
        <v>66.548999999999992</v>
      </c>
      <c r="BL22" s="29">
        <f>'Tabel Offset'!L23</f>
        <v>8.1440000000000001</v>
      </c>
      <c r="BM22" s="42">
        <f t="shared" si="32"/>
        <v>8.1440000000000001</v>
      </c>
      <c r="BN22" s="29">
        <f>'Tabel Offset'!M23</f>
        <v>8.1440000000000001</v>
      </c>
      <c r="BO22" s="42">
        <f t="shared" si="33"/>
        <v>32.576000000000001</v>
      </c>
      <c r="BP22" s="29">
        <f>'Tabel Offset'!N23</f>
        <v>8.1440000000000001</v>
      </c>
      <c r="BQ22" s="39">
        <f t="shared" si="34"/>
        <v>8.1440000000000001</v>
      </c>
      <c r="BR22" s="53">
        <f t="shared" si="35"/>
        <v>48.863999999999997</v>
      </c>
      <c r="BS22" s="56">
        <f t="shared" si="36"/>
        <v>16.287999999999997</v>
      </c>
      <c r="BT22" s="59">
        <f t="shared" si="37"/>
        <v>80.856566666666666</v>
      </c>
      <c r="BV22" s="44">
        <f>'Tabel Offset'!$A23</f>
        <v>14</v>
      </c>
      <c r="BW22" s="47">
        <f>IF(BV22="AP",0,IF(BV22="FP",'Tabel Offset'!$AA$4,BV22/20*'Tabel Offset'!$AA$4))</f>
        <v>66.548999999999992</v>
      </c>
      <c r="BX22" s="29">
        <f>'Tabel Offset'!N23</f>
        <v>8.1440000000000001</v>
      </c>
      <c r="BY22" s="42">
        <f t="shared" si="38"/>
        <v>8.1440000000000001</v>
      </c>
      <c r="BZ22" s="29">
        <f>'Tabel Offset'!O23</f>
        <v>8.1440000000000001</v>
      </c>
      <c r="CA22" s="42">
        <f t="shared" si="39"/>
        <v>32.576000000000001</v>
      </c>
      <c r="CB22" s="31">
        <f>'Tabel Offset'!P23</f>
        <v>8.1440000000000001</v>
      </c>
      <c r="CC22" s="39">
        <f t="shared" si="40"/>
        <v>8.1440000000000001</v>
      </c>
      <c r="CD22" s="53">
        <f t="shared" si="41"/>
        <v>48.863999999999997</v>
      </c>
      <c r="CE22" s="56">
        <f t="shared" si="42"/>
        <v>16.287999999999997</v>
      </c>
      <c r="CF22" s="59">
        <f t="shared" si="43"/>
        <v>97.144566666666663</v>
      </c>
      <c r="CH22" s="44">
        <f>'Tabel Offset'!$A23</f>
        <v>14</v>
      </c>
      <c r="CI22" s="47">
        <f>IF(CH22="AP",0,IF(CH22="FP",'Tabel Offset'!$AA$4,CH22/20*'Tabel Offset'!$AA$4))</f>
        <v>66.548999999999992</v>
      </c>
      <c r="CJ22" s="31">
        <f>'Tabel Offset'!P23</f>
        <v>8.1440000000000001</v>
      </c>
      <c r="CK22" s="42">
        <f t="shared" si="44"/>
        <v>8.1440000000000001</v>
      </c>
      <c r="CL22" s="31">
        <f>'Tabel Offset'!Q23</f>
        <v>8.1440000000000001</v>
      </c>
      <c r="CM22" s="42">
        <f t="shared" si="45"/>
        <v>32.576000000000001</v>
      </c>
      <c r="CN22" s="31">
        <f>'Tabel Offset'!R23</f>
        <v>8.1440000000000001</v>
      </c>
      <c r="CO22" s="39">
        <f t="shared" si="46"/>
        <v>8.1440000000000001</v>
      </c>
      <c r="CP22" s="53">
        <f t="shared" si="47"/>
        <v>48.863999999999997</v>
      </c>
      <c r="CQ22" s="56">
        <f t="shared" si="48"/>
        <v>8.1439999999999984</v>
      </c>
      <c r="CR22" s="59">
        <f t="shared" si="49"/>
        <v>105.28856666666667</v>
      </c>
      <c r="CT22" s="44">
        <f>'Tabel Offset'!$A23</f>
        <v>14</v>
      </c>
      <c r="CU22" s="47">
        <f>IF(CT22="AP",0,IF(CT22="FP",'Tabel Offset'!$AA$4,CT22/20*'Tabel Offset'!$AA$4))</f>
        <v>66.548999999999992</v>
      </c>
      <c r="CV22" s="31">
        <f>'Tabel Offset'!R23</f>
        <v>8.1440000000000001</v>
      </c>
      <c r="CW22" s="42">
        <f t="shared" si="117"/>
        <v>8.1440000000000001</v>
      </c>
      <c r="CX22" s="31">
        <f>'Tabel Offset'!S23</f>
        <v>8.1440000000000001</v>
      </c>
      <c r="CY22" s="42">
        <f t="shared" si="118"/>
        <v>32.576000000000001</v>
      </c>
      <c r="CZ22" s="31">
        <f>'Tabel Offset'!T23</f>
        <v>8.1440000000000001</v>
      </c>
      <c r="DA22" s="39">
        <f t="shared" si="119"/>
        <v>8.1440000000000001</v>
      </c>
      <c r="DB22" s="53">
        <f t="shared" si="120"/>
        <v>48.863999999999997</v>
      </c>
      <c r="DC22" s="56">
        <f t="shared" si="121"/>
        <v>11.401600000000002</v>
      </c>
      <c r="DD22" s="59">
        <f t="shared" si="122"/>
        <v>116.69016666666667</v>
      </c>
      <c r="DF22" s="44">
        <f>'Tabel Offset'!$A23</f>
        <v>14</v>
      </c>
      <c r="DG22" s="47">
        <f>IF(DF22="AP",0,IF(DF22="FP",'Tabel Offset'!$AA$4,DF22/20*'Tabel Offset'!$AA$4))</f>
        <v>66.548999999999992</v>
      </c>
      <c r="DH22" s="31">
        <f>'Tabel Offset'!T23</f>
        <v>8.1440000000000001</v>
      </c>
      <c r="DI22" s="42">
        <f t="shared" si="123"/>
        <v>8.1440000000000001</v>
      </c>
      <c r="DJ22" s="31">
        <f>'Tabel Offset'!U23</f>
        <v>8.1440000000000001</v>
      </c>
      <c r="DK22" s="42">
        <f t="shared" si="124"/>
        <v>32.576000000000001</v>
      </c>
      <c r="DL22" s="31">
        <f>'Tabel Offset'!V23</f>
        <v>8.1440000000000001</v>
      </c>
      <c r="DM22" s="39">
        <f t="shared" si="125"/>
        <v>8.1440000000000001</v>
      </c>
      <c r="DN22" s="53">
        <f t="shared" si="126"/>
        <v>48.863999999999997</v>
      </c>
      <c r="DO22" s="56">
        <f t="shared" si="127"/>
        <v>11.401600000000002</v>
      </c>
      <c r="DP22" s="59">
        <f t="shared" si="128"/>
        <v>128.09176666666667</v>
      </c>
      <c r="DR22" s="44">
        <f>'Tabel Offset'!$A23</f>
        <v>14</v>
      </c>
      <c r="DS22" s="47">
        <f>IF(DR22="AP",0,IF(DR22="FP",'Tabel Offset'!$AA$4,DR22/20*'Tabel Offset'!$AA$4))</f>
        <v>66.548999999999992</v>
      </c>
      <c r="DT22" s="31">
        <f>'Tabel Offset'!V23</f>
        <v>8.1440000000000001</v>
      </c>
      <c r="DU22" s="42">
        <f t="shared" si="129"/>
        <v>8.1440000000000001</v>
      </c>
      <c r="DV22" s="74">
        <v>8.1440000000000001</v>
      </c>
      <c r="DW22" s="42">
        <f t="shared" si="130"/>
        <v>32.576000000000001</v>
      </c>
      <c r="DX22" s="77">
        <f t="shared" si="131"/>
        <v>8.1471</v>
      </c>
      <c r="DY22" s="74">
        <v>7.1820000000000004</v>
      </c>
      <c r="DZ22" s="39">
        <f t="shared" si="0"/>
        <v>7.1820000000000004</v>
      </c>
      <c r="EA22" s="74">
        <v>8.3941999999999997</v>
      </c>
      <c r="EB22" s="53">
        <f t="shared" si="1"/>
        <v>47.902000000000001</v>
      </c>
      <c r="EC22" s="56">
        <f t="shared" si="132"/>
        <v>7.891056133333322</v>
      </c>
      <c r="ED22" s="59">
        <f t="shared" si="68"/>
        <v>135.98282280000001</v>
      </c>
    </row>
    <row r="23" spans="1:134" ht="14.4" thickBot="1" x14ac:dyDescent="0.35">
      <c r="A23" s="23"/>
      <c r="B23" s="130">
        <f>'Tabel Offset'!$A24</f>
        <v>15</v>
      </c>
      <c r="C23" s="47">
        <f>IF(B23="AP",0,IF(B23="FP",'Tabel Offset'!$AA$4,B23/20*'Tabel Offset'!$AA$4))</f>
        <v>71.302499999999995</v>
      </c>
      <c r="D23" s="50">
        <f>'Tabel Offset'!B24</f>
        <v>6.3049999999999997</v>
      </c>
      <c r="E23" s="47">
        <f t="shared" si="2"/>
        <v>6.3049999999999997</v>
      </c>
      <c r="F23" s="50">
        <f>'Tabel Offset'!C24</f>
        <v>7.1980000000000004</v>
      </c>
      <c r="G23" s="88">
        <f t="shared" si="3"/>
        <v>28.792000000000002</v>
      </c>
      <c r="H23" s="29">
        <f>'Tabel Offset'!D24</f>
        <v>7.5349000000000004</v>
      </c>
      <c r="I23" s="39">
        <f t="shared" si="4"/>
        <v>7.5349000000000004</v>
      </c>
      <c r="J23" s="53">
        <f t="shared" si="5"/>
        <v>42.631900000000002</v>
      </c>
      <c r="K23" s="56">
        <f t="shared" si="6"/>
        <v>7.1053166666666669</v>
      </c>
      <c r="L23" s="58">
        <f t="shared" si="7"/>
        <v>7.1053166666666669</v>
      </c>
      <c r="N23" s="32">
        <f>'Tabel Offset'!$A24</f>
        <v>15</v>
      </c>
      <c r="O23" s="47">
        <f>IF(N23="AP",0,IF(N23="FP",'Tabel Offset'!$AA$4,N23/20*'Tabel Offset'!$AA$4))</f>
        <v>71.302499999999995</v>
      </c>
      <c r="P23" s="29">
        <f>'Tabel Offset'!D23</f>
        <v>8.0076000000000001</v>
      </c>
      <c r="Q23" s="42">
        <f t="shared" si="111"/>
        <v>8.0076000000000001</v>
      </c>
      <c r="R23" s="29">
        <f>'Tabel Offset'!E24</f>
        <v>7.7168999999999999</v>
      </c>
      <c r="S23" s="42">
        <f t="shared" si="112"/>
        <v>30.867599999999999</v>
      </c>
      <c r="T23" s="29">
        <f>'Tabel Offset'!F24</f>
        <v>7.8232999999999997</v>
      </c>
      <c r="U23" s="39">
        <f t="shared" si="113"/>
        <v>7.8232999999999997</v>
      </c>
      <c r="V23" s="53">
        <f t="shared" si="114"/>
        <v>46.698499999999996</v>
      </c>
      <c r="W23" s="56">
        <f t="shared" si="115"/>
        <v>7.783083333333332</v>
      </c>
      <c r="X23" s="59">
        <f t="shared" si="116"/>
        <v>14.888399999999999</v>
      </c>
      <c r="Z23" s="32">
        <f>'Tabel Offset'!$A24</f>
        <v>15</v>
      </c>
      <c r="AA23" s="47">
        <f>IF(Z23="AP",0,IF(Z23="FP",'Tabel Offset'!$AA$4,Z23/20*'Tabel Offset'!$AA$4))</f>
        <v>71.302499999999995</v>
      </c>
      <c r="AB23" s="29">
        <f>'Tabel Offset'!F24</f>
        <v>7.8232999999999997</v>
      </c>
      <c r="AC23" s="42">
        <f t="shared" si="14"/>
        <v>7.8232999999999997</v>
      </c>
      <c r="AD23" s="29">
        <f>'Tabel Offset'!G24</f>
        <v>7.9036</v>
      </c>
      <c r="AE23" s="42">
        <f t="shared" si="15"/>
        <v>31.6144</v>
      </c>
      <c r="AF23" s="29">
        <f>'Tabel Offset'!H24</f>
        <v>7.9396000000000004</v>
      </c>
      <c r="AG23" s="39">
        <f t="shared" si="16"/>
        <v>7.9396000000000004</v>
      </c>
      <c r="AH23" s="53">
        <f t="shared" si="17"/>
        <v>47.377299999999998</v>
      </c>
      <c r="AI23" s="56">
        <f t="shared" si="18"/>
        <v>15.792433333333332</v>
      </c>
      <c r="AJ23" s="59">
        <f t="shared" si="19"/>
        <v>30.680833333333332</v>
      </c>
      <c r="AL23" s="32">
        <f>'Tabel Offset'!$A24</f>
        <v>15</v>
      </c>
      <c r="AM23" s="47">
        <f>IF(AL23="AP",0,IF(AL23="FP",'Tabel Offset'!$AA$4,AL23/20*'Tabel Offset'!$AA$4))</f>
        <v>71.302499999999995</v>
      </c>
      <c r="AN23" s="29">
        <f>'Tabel Offset'!H24</f>
        <v>7.9396000000000004</v>
      </c>
      <c r="AO23" s="42">
        <f t="shared" si="20"/>
        <v>7.9396000000000004</v>
      </c>
      <c r="AP23" s="90">
        <f>'Tabel Offset'!I24</f>
        <v>7.9702999999999999</v>
      </c>
      <c r="AQ23" s="42">
        <f t="shared" si="21"/>
        <v>31.8812</v>
      </c>
      <c r="AR23" s="29">
        <f>'Tabel Offset'!J24</f>
        <v>7.9987000000000004</v>
      </c>
      <c r="AS23" s="39">
        <f t="shared" si="22"/>
        <v>7.9987000000000004</v>
      </c>
      <c r="AT23" s="53">
        <f t="shared" si="23"/>
        <v>47.819499999999998</v>
      </c>
      <c r="AU23" s="56">
        <f t="shared" si="24"/>
        <v>15.939833333333333</v>
      </c>
      <c r="AV23" s="59">
        <f t="shared" si="25"/>
        <v>46.620666666666665</v>
      </c>
      <c r="AX23" s="44">
        <f>'Tabel Offset'!$A24</f>
        <v>15</v>
      </c>
      <c r="AY23" s="47">
        <f>IF(AX23="AP",0,IF(AX23="FP",'Tabel Offset'!$AA$4,AX23/20*'Tabel Offset'!$AA$4))</f>
        <v>71.302499999999995</v>
      </c>
      <c r="AZ23" s="29">
        <f>'Tabel Offset'!J24</f>
        <v>7.9987000000000004</v>
      </c>
      <c r="BA23" s="42">
        <f t="shared" si="26"/>
        <v>7.9987000000000004</v>
      </c>
      <c r="BB23" s="29">
        <f>'Tabel Offset'!K24</f>
        <v>8.0252999999999997</v>
      </c>
      <c r="BC23" s="42">
        <f t="shared" si="27"/>
        <v>32.101199999999999</v>
      </c>
      <c r="BD23" s="29">
        <f>'Tabel Offset'!L24</f>
        <v>8.0498999999999992</v>
      </c>
      <c r="BE23" s="39">
        <f t="shared" si="28"/>
        <v>8.0498999999999992</v>
      </c>
      <c r="BF23" s="53">
        <f t="shared" si="29"/>
        <v>48.149799999999999</v>
      </c>
      <c r="BG23" s="56">
        <f t="shared" si="30"/>
        <v>16.049933333333332</v>
      </c>
      <c r="BH23" s="59">
        <f t="shared" si="31"/>
        <v>62.670599999999993</v>
      </c>
      <c r="BJ23" s="44">
        <f>'Tabel Offset'!$A24</f>
        <v>15</v>
      </c>
      <c r="BK23" s="47">
        <f>IF(BJ23="AP",0,IF(BJ23="FP",'Tabel Offset'!$AA$4,BJ23/20*'Tabel Offset'!$AA$4))</f>
        <v>71.302499999999995</v>
      </c>
      <c r="BL23" s="29">
        <f>'Tabel Offset'!L24</f>
        <v>8.0498999999999992</v>
      </c>
      <c r="BM23" s="42">
        <f t="shared" si="32"/>
        <v>8.0498999999999992</v>
      </c>
      <c r="BN23" s="29">
        <f>'Tabel Offset'!M24</f>
        <v>8.0716000000000001</v>
      </c>
      <c r="BO23" s="42">
        <f t="shared" si="33"/>
        <v>32.2864</v>
      </c>
      <c r="BP23" s="29">
        <f>'Tabel Offset'!N24</f>
        <v>8.0894999999999992</v>
      </c>
      <c r="BQ23" s="39">
        <f t="shared" si="34"/>
        <v>8.0894999999999992</v>
      </c>
      <c r="BR23" s="53">
        <f t="shared" si="35"/>
        <v>48.425800000000002</v>
      </c>
      <c r="BS23" s="56">
        <f t="shared" si="36"/>
        <v>16.141933333333334</v>
      </c>
      <c r="BT23" s="59">
        <f t="shared" si="37"/>
        <v>78.812533333333334</v>
      </c>
      <c r="BV23" s="44">
        <f>'Tabel Offset'!$A24</f>
        <v>15</v>
      </c>
      <c r="BW23" s="47">
        <f>IF(BV23="AP",0,IF(BV23="FP",'Tabel Offset'!$AA$4,BV23/20*'Tabel Offset'!$AA$4))</f>
        <v>71.302499999999995</v>
      </c>
      <c r="BX23" s="29">
        <f>'Tabel Offset'!N24</f>
        <v>8.0894999999999992</v>
      </c>
      <c r="BY23" s="42">
        <f t="shared" si="38"/>
        <v>8.0894999999999992</v>
      </c>
      <c r="BZ23" s="29">
        <f>'Tabel Offset'!O24</f>
        <v>8.1029</v>
      </c>
      <c r="CA23" s="42">
        <f t="shared" si="39"/>
        <v>32.4116</v>
      </c>
      <c r="CB23" s="31">
        <f>'Tabel Offset'!P24</f>
        <v>8.1125000000000007</v>
      </c>
      <c r="CC23" s="39">
        <f t="shared" si="40"/>
        <v>8.1125000000000007</v>
      </c>
      <c r="CD23" s="53">
        <f t="shared" si="41"/>
        <v>48.613600000000005</v>
      </c>
      <c r="CE23" s="56">
        <f t="shared" si="42"/>
        <v>16.204533333333334</v>
      </c>
      <c r="CF23" s="59">
        <f t="shared" si="43"/>
        <v>95.017066666666665</v>
      </c>
      <c r="CH23" s="44">
        <f>'Tabel Offset'!$A24</f>
        <v>15</v>
      </c>
      <c r="CI23" s="47">
        <f>IF(CH23="AP",0,IF(CH23="FP",'Tabel Offset'!$AA$4,CH23/20*'Tabel Offset'!$AA$4))</f>
        <v>71.302499999999995</v>
      </c>
      <c r="CJ23" s="31">
        <f>'Tabel Offset'!P24</f>
        <v>8.1125000000000007</v>
      </c>
      <c r="CK23" s="42">
        <f t="shared" si="44"/>
        <v>8.1125000000000007</v>
      </c>
      <c r="CL23" s="31">
        <f>'Tabel Offset'!Q24</f>
        <v>8.1164000000000005</v>
      </c>
      <c r="CM23" s="42">
        <f t="shared" si="45"/>
        <v>32.465600000000002</v>
      </c>
      <c r="CN23" s="31">
        <f>'Tabel Offset'!R24</f>
        <v>8.1197999999999997</v>
      </c>
      <c r="CO23" s="39">
        <f t="shared" si="46"/>
        <v>8.1197999999999997</v>
      </c>
      <c r="CP23" s="53">
        <f t="shared" si="47"/>
        <v>48.697900000000004</v>
      </c>
      <c r="CQ23" s="56">
        <f t="shared" si="48"/>
        <v>8.1163166666666662</v>
      </c>
      <c r="CR23" s="59">
        <f t="shared" si="49"/>
        <v>103.13338333333333</v>
      </c>
      <c r="CT23" s="44">
        <f>'Tabel Offset'!$A24</f>
        <v>15</v>
      </c>
      <c r="CU23" s="47">
        <f>IF(CT23="AP",0,IF(CT23="FP",'Tabel Offset'!$AA$4,CT23/20*'Tabel Offset'!$AA$4))</f>
        <v>71.302499999999995</v>
      </c>
      <c r="CV23" s="31">
        <f>'Tabel Offset'!R24</f>
        <v>8.1197999999999997</v>
      </c>
      <c r="CW23" s="42">
        <f t="shared" si="117"/>
        <v>8.1197999999999997</v>
      </c>
      <c r="CX23" s="31">
        <f>'Tabel Offset'!S24</f>
        <v>8.1239000000000008</v>
      </c>
      <c r="CY23" s="42">
        <f t="shared" si="118"/>
        <v>32.495600000000003</v>
      </c>
      <c r="CZ23" s="31">
        <f>'Tabel Offset'!T24</f>
        <v>8.1273999999999997</v>
      </c>
      <c r="DA23" s="39">
        <f t="shared" si="119"/>
        <v>8.1273999999999997</v>
      </c>
      <c r="DB23" s="53">
        <f t="shared" si="120"/>
        <v>48.742800000000003</v>
      </c>
      <c r="DC23" s="56">
        <f t="shared" si="121"/>
        <v>11.373320000000003</v>
      </c>
      <c r="DD23" s="59">
        <f t="shared" si="122"/>
        <v>114.50670333333333</v>
      </c>
      <c r="DF23" s="44">
        <f>'Tabel Offset'!$A24</f>
        <v>15</v>
      </c>
      <c r="DG23" s="47">
        <f>IF(DF23="AP",0,IF(DF23="FP",'Tabel Offset'!$AA$4,DF23/20*'Tabel Offset'!$AA$4))</f>
        <v>71.302499999999995</v>
      </c>
      <c r="DH23" s="31">
        <f>'Tabel Offset'!T24</f>
        <v>8.1273999999999997</v>
      </c>
      <c r="DI23" s="42">
        <f t="shared" si="123"/>
        <v>8.1273999999999997</v>
      </c>
      <c r="DJ23" s="31">
        <f>'Tabel Offset'!U24</f>
        <v>8.1303000000000001</v>
      </c>
      <c r="DK23" s="42">
        <f t="shared" si="124"/>
        <v>32.5212</v>
      </c>
      <c r="DL23" s="31">
        <f>'Tabel Offset'!V24</f>
        <v>8.1326999999999998</v>
      </c>
      <c r="DM23" s="39">
        <f t="shared" si="125"/>
        <v>8.1326999999999998</v>
      </c>
      <c r="DN23" s="53">
        <f t="shared" si="126"/>
        <v>48.781300000000002</v>
      </c>
      <c r="DO23" s="56">
        <f t="shared" si="127"/>
        <v>11.382303333333336</v>
      </c>
      <c r="DP23" s="59">
        <f t="shared" si="128"/>
        <v>125.88900666666667</v>
      </c>
      <c r="DR23" s="44">
        <f>'Tabel Offset'!$A24</f>
        <v>15</v>
      </c>
      <c r="DS23" s="47">
        <f>IF(DR23="AP",0,IF(DR23="FP",'Tabel Offset'!$AA$4,DR23/20*'Tabel Offset'!$AA$4))</f>
        <v>71.302499999999995</v>
      </c>
      <c r="DT23" s="31">
        <f>'Tabel Offset'!V24</f>
        <v>8.1326999999999998</v>
      </c>
      <c r="DU23" s="42">
        <f t="shared" si="129"/>
        <v>8.1326999999999998</v>
      </c>
      <c r="DV23" s="74">
        <v>8.1343999999999994</v>
      </c>
      <c r="DW23" s="42">
        <f t="shared" si="130"/>
        <v>32.537599999999998</v>
      </c>
      <c r="DX23" s="77">
        <f t="shared" si="131"/>
        <v>8.2508499999999998</v>
      </c>
      <c r="DY23" s="74">
        <v>7.069</v>
      </c>
      <c r="DZ23" s="39">
        <f t="shared" si="0"/>
        <v>7.069</v>
      </c>
      <c r="EA23" s="74">
        <v>8.6016999999999992</v>
      </c>
      <c r="EB23" s="53">
        <f t="shared" si="1"/>
        <v>47.7393</v>
      </c>
      <c r="EC23" s="56">
        <f t="shared" si="132"/>
        <v>11.166222269999981</v>
      </c>
      <c r="ED23" s="59">
        <f t="shared" si="68"/>
        <v>137.05522893666665</v>
      </c>
    </row>
    <row r="24" spans="1:134" ht="14.4" thickBot="1" x14ac:dyDescent="0.35">
      <c r="A24" s="24"/>
      <c r="B24" s="130">
        <f>'Tabel Offset'!$A25</f>
        <v>16</v>
      </c>
      <c r="C24" s="47">
        <f>IF(B24="AP",0,IF(B24="FP",'Tabel Offset'!$AA$4,B24/20*'Tabel Offset'!$AA$4))</f>
        <v>76.055999999999997</v>
      </c>
      <c r="D24" s="50">
        <f>'Tabel Offset'!B25</f>
        <v>5.6559999999999997</v>
      </c>
      <c r="E24" s="47">
        <f t="shared" si="2"/>
        <v>5.6559999999999997</v>
      </c>
      <c r="F24" s="50">
        <f>'Tabel Offset'!C25</f>
        <v>6.4987000000000004</v>
      </c>
      <c r="G24" s="88">
        <f t="shared" si="3"/>
        <v>25.994800000000001</v>
      </c>
      <c r="H24" s="29">
        <f>'Tabel Offset'!D25</f>
        <v>6.9375</v>
      </c>
      <c r="I24" s="39">
        <f t="shared" si="4"/>
        <v>6.9375</v>
      </c>
      <c r="J24" s="53">
        <f t="shared" si="5"/>
        <v>38.588300000000004</v>
      </c>
      <c r="K24" s="56">
        <f t="shared" si="6"/>
        <v>6.4313833333333337</v>
      </c>
      <c r="L24" s="58">
        <f t="shared" si="7"/>
        <v>6.4313833333333337</v>
      </c>
      <c r="N24" s="32">
        <f>'Tabel Offset'!$A25</f>
        <v>16</v>
      </c>
      <c r="O24" s="47">
        <f>IF(N24="AP",0,IF(N24="FP",'Tabel Offset'!$AA$4,N24/20*'Tabel Offset'!$AA$4))</f>
        <v>76.055999999999997</v>
      </c>
      <c r="P24" s="29">
        <f>'Tabel Offset'!D25</f>
        <v>6.9375</v>
      </c>
      <c r="Q24" s="42">
        <f t="shared" si="111"/>
        <v>6.9375</v>
      </c>
      <c r="R24" s="29">
        <f>'Tabel Offset'!E25</f>
        <v>7.1730999999999998</v>
      </c>
      <c r="S24" s="42">
        <f t="shared" si="112"/>
        <v>28.692399999999999</v>
      </c>
      <c r="T24" s="29">
        <f>'Tabel Offset'!F25</f>
        <v>7.3152999999999997</v>
      </c>
      <c r="U24" s="39">
        <f t="shared" si="113"/>
        <v>7.3152999999999997</v>
      </c>
      <c r="V24" s="53">
        <f t="shared" si="114"/>
        <v>42.9452</v>
      </c>
      <c r="W24" s="56">
        <f t="shared" si="115"/>
        <v>7.1575333333333333</v>
      </c>
      <c r="X24" s="59">
        <f t="shared" si="116"/>
        <v>13.588916666666666</v>
      </c>
      <c r="Z24" s="32">
        <f>'Tabel Offset'!$A25</f>
        <v>16</v>
      </c>
      <c r="AA24" s="47">
        <f>IF(Z24="AP",0,IF(Z24="FP",'Tabel Offset'!$AA$4,Z24/20*'Tabel Offset'!$AA$4))</f>
        <v>76.055999999999997</v>
      </c>
      <c r="AB24" s="29">
        <f>'Tabel Offset'!F25</f>
        <v>7.3152999999999997</v>
      </c>
      <c r="AC24" s="42">
        <f t="shared" si="14"/>
        <v>7.3152999999999997</v>
      </c>
      <c r="AD24" s="29">
        <f>'Tabel Offset'!G25</f>
        <v>7.4522000000000004</v>
      </c>
      <c r="AE24" s="42">
        <f t="shared" si="15"/>
        <v>29.808800000000002</v>
      </c>
      <c r="AF24" s="29">
        <f>'Tabel Offset'!H25</f>
        <v>7.5353000000000003</v>
      </c>
      <c r="AG24" s="39">
        <f t="shared" si="16"/>
        <v>7.5353000000000003</v>
      </c>
      <c r="AH24" s="53">
        <f t="shared" si="17"/>
        <v>44.659399999999998</v>
      </c>
      <c r="AI24" s="56">
        <f t="shared" si="18"/>
        <v>14.886466666666665</v>
      </c>
      <c r="AJ24" s="59">
        <f t="shared" si="19"/>
        <v>28.475383333333333</v>
      </c>
      <c r="AL24" s="32">
        <f>'Tabel Offset'!$A25</f>
        <v>16</v>
      </c>
      <c r="AM24" s="47">
        <f>IF(AL24="AP",0,IF(AL24="FP",'Tabel Offset'!$AA$4,AL24/20*'Tabel Offset'!$AA$4))</f>
        <v>76.055999999999997</v>
      </c>
      <c r="AN24" s="29">
        <f>'Tabel Offset'!H25</f>
        <v>7.5353000000000003</v>
      </c>
      <c r="AO24" s="42">
        <f t="shared" si="20"/>
        <v>7.5353000000000003</v>
      </c>
      <c r="AP24" s="90">
        <f>'Tabel Offset'!I25</f>
        <v>7.5990000000000002</v>
      </c>
      <c r="AQ24" s="42">
        <f t="shared" si="21"/>
        <v>30.396000000000001</v>
      </c>
      <c r="AR24" s="29">
        <f>'Tabel Offset'!J25</f>
        <v>7.6513999999999998</v>
      </c>
      <c r="AS24" s="39">
        <f t="shared" si="22"/>
        <v>7.6513999999999998</v>
      </c>
      <c r="AT24" s="53">
        <f t="shared" si="23"/>
        <v>45.582700000000003</v>
      </c>
      <c r="AU24" s="56">
        <f t="shared" si="24"/>
        <v>15.194233333333333</v>
      </c>
      <c r="AV24" s="59">
        <f t="shared" si="25"/>
        <v>43.66961666666667</v>
      </c>
      <c r="AX24" s="44">
        <f>'Tabel Offset'!$A25</f>
        <v>16</v>
      </c>
      <c r="AY24" s="47">
        <f>IF(AX24="AP",0,IF(AX24="FP",'Tabel Offset'!$AA$4,AX24/20*'Tabel Offset'!$AA$4))</f>
        <v>76.055999999999997</v>
      </c>
      <c r="AZ24" s="29">
        <f>'Tabel Offset'!J25</f>
        <v>7.6513999999999998</v>
      </c>
      <c r="BA24" s="42">
        <f t="shared" si="26"/>
        <v>7.6513999999999998</v>
      </c>
      <c r="BB24" s="29">
        <f>'Tabel Offset'!K25</f>
        <v>7.7001999999999997</v>
      </c>
      <c r="BC24" s="42">
        <f t="shared" si="27"/>
        <v>30.800799999999999</v>
      </c>
      <c r="BD24" s="29">
        <f>'Tabel Offset'!L25</f>
        <v>7.7468000000000004</v>
      </c>
      <c r="BE24" s="39">
        <f t="shared" si="28"/>
        <v>7.7468000000000004</v>
      </c>
      <c r="BF24" s="53">
        <f t="shared" si="29"/>
        <v>46.198999999999998</v>
      </c>
      <c r="BG24" s="56">
        <f t="shared" si="30"/>
        <v>15.399666666666665</v>
      </c>
      <c r="BH24" s="59">
        <f t="shared" si="31"/>
        <v>59.069283333333331</v>
      </c>
      <c r="BJ24" s="44">
        <f>'Tabel Offset'!$A25</f>
        <v>16</v>
      </c>
      <c r="BK24" s="47">
        <f>IF(BJ24="AP",0,IF(BJ24="FP",'Tabel Offset'!$AA$4,BJ24/20*'Tabel Offset'!$AA$4))</f>
        <v>76.055999999999997</v>
      </c>
      <c r="BL24" s="29">
        <f>'Tabel Offset'!L25</f>
        <v>7.7468000000000004</v>
      </c>
      <c r="BM24" s="42">
        <f t="shared" si="32"/>
        <v>7.7468000000000004</v>
      </c>
      <c r="BN24" s="29">
        <f>'Tabel Offset'!M25</f>
        <v>7.7908999999999997</v>
      </c>
      <c r="BO24" s="42">
        <f t="shared" si="33"/>
        <v>31.163599999999999</v>
      </c>
      <c r="BP24" s="29">
        <f>'Tabel Offset'!N25</f>
        <v>7.8337000000000003</v>
      </c>
      <c r="BQ24" s="39">
        <f t="shared" si="34"/>
        <v>7.8337000000000003</v>
      </c>
      <c r="BR24" s="53">
        <f t="shared" si="35"/>
        <v>46.744099999999996</v>
      </c>
      <c r="BS24" s="56">
        <f t="shared" si="36"/>
        <v>15.581366666666664</v>
      </c>
      <c r="BT24" s="59">
        <f t="shared" si="37"/>
        <v>74.650649999999999</v>
      </c>
      <c r="BV24" s="44">
        <f>'Tabel Offset'!$A25</f>
        <v>16</v>
      </c>
      <c r="BW24" s="47">
        <f>IF(BV24="AP",0,IF(BV24="FP",'Tabel Offset'!$AA$4,BV24/20*'Tabel Offset'!$AA$4))</f>
        <v>76.055999999999997</v>
      </c>
      <c r="BX24" s="29">
        <f>'Tabel Offset'!N25</f>
        <v>7.8337000000000003</v>
      </c>
      <c r="BY24" s="42">
        <f t="shared" si="38"/>
        <v>7.8337000000000003</v>
      </c>
      <c r="BZ24" s="29">
        <f>'Tabel Offset'!O25</f>
        <v>7.8756000000000004</v>
      </c>
      <c r="CA24" s="42">
        <f t="shared" si="39"/>
        <v>31.502400000000002</v>
      </c>
      <c r="CB24" s="31">
        <f>'Tabel Offset'!P25</f>
        <v>7.9147999999999996</v>
      </c>
      <c r="CC24" s="39">
        <f t="shared" si="40"/>
        <v>7.9147999999999996</v>
      </c>
      <c r="CD24" s="53">
        <f t="shared" si="41"/>
        <v>47.250900000000001</v>
      </c>
      <c r="CE24" s="56">
        <f t="shared" si="42"/>
        <v>15.750299999999999</v>
      </c>
      <c r="CF24" s="59">
        <f t="shared" si="43"/>
        <v>90.400949999999995</v>
      </c>
      <c r="CH24" s="44">
        <f>'Tabel Offset'!$A25</f>
        <v>16</v>
      </c>
      <c r="CI24" s="47">
        <f>IF(CH24="AP",0,IF(CH24="FP",'Tabel Offset'!$AA$4,CH24/20*'Tabel Offset'!$AA$4))</f>
        <v>76.055999999999997</v>
      </c>
      <c r="CJ24" s="31">
        <f>'Tabel Offset'!P25</f>
        <v>7.9147999999999996</v>
      </c>
      <c r="CK24" s="42">
        <f t="shared" si="44"/>
        <v>7.9147999999999996</v>
      </c>
      <c r="CL24" s="31">
        <f>'Tabel Offset'!Q25</f>
        <v>7.9328000000000003</v>
      </c>
      <c r="CM24" s="42">
        <f t="shared" si="45"/>
        <v>31.731200000000001</v>
      </c>
      <c r="CN24" s="31">
        <f>'Tabel Offset'!R25</f>
        <v>7.9492000000000003</v>
      </c>
      <c r="CO24" s="39">
        <f t="shared" si="46"/>
        <v>7.9492000000000003</v>
      </c>
      <c r="CP24" s="53">
        <f t="shared" si="47"/>
        <v>47.595199999999998</v>
      </c>
      <c r="CQ24" s="56">
        <f t="shared" si="48"/>
        <v>7.9325333333333328</v>
      </c>
      <c r="CR24" s="59">
        <f t="shared" si="49"/>
        <v>98.333483333333334</v>
      </c>
      <c r="CT24" s="44">
        <f>'Tabel Offset'!$A25</f>
        <v>16</v>
      </c>
      <c r="CU24" s="47">
        <f>IF(CT24="AP",0,IF(CT24="FP",'Tabel Offset'!$AA$4,CT24/20*'Tabel Offset'!$AA$4))</f>
        <v>76.055999999999997</v>
      </c>
      <c r="CV24" s="31">
        <f>'Tabel Offset'!R25</f>
        <v>7.9492000000000003</v>
      </c>
      <c r="CW24" s="42">
        <f t="shared" si="117"/>
        <v>7.9492000000000003</v>
      </c>
      <c r="CX24" s="31">
        <f>'Tabel Offset'!S25</f>
        <v>7.9696999999999996</v>
      </c>
      <c r="CY24" s="42">
        <f t="shared" si="118"/>
        <v>31.878799999999998</v>
      </c>
      <c r="CZ24" s="31">
        <f>'Tabel Offset'!T25</f>
        <v>7.9574999999999996</v>
      </c>
      <c r="DA24" s="39">
        <f t="shared" si="119"/>
        <v>7.9574999999999996</v>
      </c>
      <c r="DB24" s="53">
        <f t="shared" si="120"/>
        <v>47.785499999999999</v>
      </c>
      <c r="DC24" s="56">
        <f t="shared" si="121"/>
        <v>11.149950000000002</v>
      </c>
      <c r="DD24" s="59">
        <f t="shared" si="122"/>
        <v>109.48343333333334</v>
      </c>
      <c r="DF24" s="44">
        <f>'Tabel Offset'!$A25</f>
        <v>16</v>
      </c>
      <c r="DG24" s="47">
        <f>IF(DF24="AP",0,IF(DF24="FP",'Tabel Offset'!$AA$4,DF24/20*'Tabel Offset'!$AA$4))</f>
        <v>76.055999999999997</v>
      </c>
      <c r="DH24" s="31">
        <f>'Tabel Offset'!T25</f>
        <v>7.9574999999999996</v>
      </c>
      <c r="DI24" s="42">
        <f t="shared" si="123"/>
        <v>7.9574999999999996</v>
      </c>
      <c r="DJ24" s="31">
        <f>'Tabel Offset'!U25</f>
        <v>8.0031999999999996</v>
      </c>
      <c r="DK24" s="42">
        <f t="shared" si="124"/>
        <v>32.012799999999999</v>
      </c>
      <c r="DL24" s="31">
        <f>'Tabel Offset'!V25</f>
        <v>8.0167999999999999</v>
      </c>
      <c r="DM24" s="39">
        <f t="shared" si="125"/>
        <v>8.0167999999999999</v>
      </c>
      <c r="DN24" s="53">
        <f t="shared" si="126"/>
        <v>47.987099999999998</v>
      </c>
      <c r="DO24" s="56">
        <f t="shared" si="127"/>
        <v>11.196990000000003</v>
      </c>
      <c r="DP24" s="59">
        <f t="shared" si="128"/>
        <v>120.68042333333334</v>
      </c>
      <c r="DR24" s="44">
        <f>'Tabel Offset'!$A25</f>
        <v>16</v>
      </c>
      <c r="DS24" s="47">
        <f>IF(DR24="AP",0,IF(DR24="FP",'Tabel Offset'!$AA$4,DR24/20*'Tabel Offset'!$AA$4))</f>
        <v>76.055999999999997</v>
      </c>
      <c r="DT24" s="31">
        <f>'Tabel Offset'!V25</f>
        <v>8.0167999999999999</v>
      </c>
      <c r="DU24" s="42">
        <f t="shared" si="129"/>
        <v>8.0167999999999999</v>
      </c>
      <c r="DV24" s="74">
        <v>8.0304000000000002</v>
      </c>
      <c r="DW24" s="42">
        <f t="shared" si="130"/>
        <v>32.121600000000001</v>
      </c>
      <c r="DX24" s="77">
        <f t="shared" si="131"/>
        <v>8.3557000000000006</v>
      </c>
      <c r="DY24" s="74">
        <v>6.7709999999999999</v>
      </c>
      <c r="DZ24" s="39">
        <f t="shared" si="0"/>
        <v>6.7709999999999999</v>
      </c>
      <c r="EA24" s="74">
        <v>8.8114000000000008</v>
      </c>
      <c r="EB24" s="53">
        <f t="shared" si="1"/>
        <v>46.909400000000005</v>
      </c>
      <c r="EC24" s="56">
        <f t="shared" si="132"/>
        <v>14.251075720000008</v>
      </c>
      <c r="ED24" s="59">
        <f t="shared" si="68"/>
        <v>134.93149905333334</v>
      </c>
    </row>
    <row r="25" spans="1:134" ht="14.4" thickBot="1" x14ac:dyDescent="0.35">
      <c r="A25" s="23"/>
      <c r="B25" s="130">
        <f>'Tabel Offset'!$A26</f>
        <v>17</v>
      </c>
      <c r="C25" s="47">
        <f>IF(B25="AP",0,IF(B25="FP",'Tabel Offset'!$AA$4,B25/20*'Tabel Offset'!$AA$4))</f>
        <v>80.809499999999986</v>
      </c>
      <c r="D25" s="50">
        <f>'Tabel Offset'!B26</f>
        <v>4.673</v>
      </c>
      <c r="E25" s="47">
        <f t="shared" si="2"/>
        <v>4.673</v>
      </c>
      <c r="F25" s="50">
        <f>'Tabel Offset'!C26</f>
        <v>5.6067999999999998</v>
      </c>
      <c r="G25" s="88">
        <f t="shared" si="3"/>
        <v>22.427199999999999</v>
      </c>
      <c r="H25" s="29">
        <f>'Tabel Offset'!D26</f>
        <v>6.0399000000000003</v>
      </c>
      <c r="I25" s="39">
        <f t="shared" si="4"/>
        <v>6.0399000000000003</v>
      </c>
      <c r="J25" s="53">
        <f t="shared" si="5"/>
        <v>33.140100000000004</v>
      </c>
      <c r="K25" s="56">
        <f t="shared" si="6"/>
        <v>5.5233500000000006</v>
      </c>
      <c r="L25" s="58">
        <f t="shared" si="7"/>
        <v>5.5233500000000006</v>
      </c>
      <c r="N25" s="32">
        <f>'Tabel Offset'!$A26</f>
        <v>17</v>
      </c>
      <c r="O25" s="47">
        <f>IF(N25="AP",0,IF(N25="FP",'Tabel Offset'!$AA$4,N25/20*'Tabel Offset'!$AA$4))</f>
        <v>80.809499999999986</v>
      </c>
      <c r="P25" s="29">
        <f>'Tabel Offset'!D25</f>
        <v>6.9375</v>
      </c>
      <c r="Q25" s="42">
        <f t="shared" si="111"/>
        <v>6.9375</v>
      </c>
      <c r="R25" s="29">
        <f>'Tabel Offset'!E26</f>
        <v>6.2976999999999999</v>
      </c>
      <c r="S25" s="42">
        <f t="shared" si="112"/>
        <v>25.190799999999999</v>
      </c>
      <c r="T25" s="29">
        <f>'Tabel Offset'!F26</f>
        <v>6.4649999999999999</v>
      </c>
      <c r="U25" s="39">
        <f t="shared" si="113"/>
        <v>6.4649999999999999</v>
      </c>
      <c r="V25" s="53">
        <f t="shared" si="114"/>
        <v>38.593299999999999</v>
      </c>
      <c r="W25" s="56">
        <f t="shared" si="115"/>
        <v>6.4322166666666662</v>
      </c>
      <c r="X25" s="59">
        <f t="shared" si="116"/>
        <v>11.955566666666666</v>
      </c>
      <c r="Z25" s="32">
        <f>'Tabel Offset'!$A26</f>
        <v>17</v>
      </c>
      <c r="AA25" s="47">
        <f>IF(Z25="AP",0,IF(Z25="FP",'Tabel Offset'!$AA$4,Z25/20*'Tabel Offset'!$AA$4))</f>
        <v>80.809499999999986</v>
      </c>
      <c r="AB25" s="29">
        <f>'Tabel Offset'!F26</f>
        <v>6.4649999999999999</v>
      </c>
      <c r="AC25" s="42">
        <f t="shared" si="14"/>
        <v>6.4649999999999999</v>
      </c>
      <c r="AD25" s="29">
        <f>'Tabel Offset'!G26</f>
        <v>6.6569000000000003</v>
      </c>
      <c r="AE25" s="42">
        <f t="shared" si="15"/>
        <v>26.627600000000001</v>
      </c>
      <c r="AF25" s="29">
        <f>'Tabel Offset'!H26</f>
        <v>6.7866</v>
      </c>
      <c r="AG25" s="39">
        <f t="shared" si="16"/>
        <v>6.7866</v>
      </c>
      <c r="AH25" s="53">
        <f t="shared" si="17"/>
        <v>39.879200000000004</v>
      </c>
      <c r="AI25" s="56">
        <f t="shared" si="18"/>
        <v>13.293066666666668</v>
      </c>
      <c r="AJ25" s="59">
        <f t="shared" si="19"/>
        <v>25.248633333333334</v>
      </c>
      <c r="AL25" s="32">
        <f>'Tabel Offset'!$A26</f>
        <v>17</v>
      </c>
      <c r="AM25" s="47">
        <f>IF(AL25="AP",0,IF(AL25="FP",'Tabel Offset'!$AA$4,AL25/20*'Tabel Offset'!$AA$4))</f>
        <v>80.809499999999986</v>
      </c>
      <c r="AN25" s="29">
        <f>'Tabel Offset'!H26</f>
        <v>6.7866</v>
      </c>
      <c r="AO25" s="42">
        <f t="shared" si="20"/>
        <v>6.7866</v>
      </c>
      <c r="AP25" s="90">
        <f>'Tabel Offset'!I26</f>
        <v>6.8987999999999996</v>
      </c>
      <c r="AQ25" s="42">
        <f t="shared" si="21"/>
        <v>27.595199999999998</v>
      </c>
      <c r="AR25" s="29">
        <f>'Tabel Offset'!J26</f>
        <v>6.9984999999999999</v>
      </c>
      <c r="AS25" s="39">
        <f t="shared" si="22"/>
        <v>6.9984999999999999</v>
      </c>
      <c r="AT25" s="53">
        <f t="shared" si="23"/>
        <v>41.380299999999998</v>
      </c>
      <c r="AU25" s="56">
        <f t="shared" si="24"/>
        <v>13.793433333333333</v>
      </c>
      <c r="AV25" s="59">
        <f t="shared" si="25"/>
        <v>39.04206666666667</v>
      </c>
      <c r="AX25" s="44">
        <f>'Tabel Offset'!$A26</f>
        <v>17</v>
      </c>
      <c r="AY25" s="47">
        <f>IF(AX25="AP",0,IF(AX25="FP",'Tabel Offset'!$AA$4,AX25/20*'Tabel Offset'!$AA$4))</f>
        <v>80.809499999999986</v>
      </c>
      <c r="AZ25" s="29">
        <f>'Tabel Offset'!J26</f>
        <v>6.9984999999999999</v>
      </c>
      <c r="BA25" s="42">
        <f t="shared" si="26"/>
        <v>6.9984999999999999</v>
      </c>
      <c r="BB25" s="29">
        <f>'Tabel Offset'!K26</f>
        <v>7.0842999999999998</v>
      </c>
      <c r="BC25" s="42">
        <f t="shared" si="27"/>
        <v>28.337199999999999</v>
      </c>
      <c r="BD25" s="29">
        <f>'Tabel Offset'!L26</f>
        <v>7.1574999999999998</v>
      </c>
      <c r="BE25" s="39">
        <f t="shared" si="28"/>
        <v>7.1574999999999998</v>
      </c>
      <c r="BF25" s="53">
        <f t="shared" si="29"/>
        <v>42.493200000000002</v>
      </c>
      <c r="BG25" s="56">
        <f t="shared" si="30"/>
        <v>14.164400000000001</v>
      </c>
      <c r="BH25" s="59">
        <f t="shared" si="31"/>
        <v>53.206466666666671</v>
      </c>
      <c r="BJ25" s="44">
        <f>'Tabel Offset'!$A26</f>
        <v>17</v>
      </c>
      <c r="BK25" s="47">
        <f>IF(BJ25="AP",0,IF(BJ25="FP",'Tabel Offset'!$AA$4,BJ25/20*'Tabel Offset'!$AA$4))</f>
        <v>80.809499999999986</v>
      </c>
      <c r="BL25" s="29">
        <f>'Tabel Offset'!L26</f>
        <v>7.1574999999999998</v>
      </c>
      <c r="BM25" s="42">
        <f t="shared" si="32"/>
        <v>7.1574999999999998</v>
      </c>
      <c r="BN25" s="29">
        <f>'Tabel Offset'!M26</f>
        <v>7.2222</v>
      </c>
      <c r="BO25" s="42">
        <f t="shared" si="33"/>
        <v>28.8888</v>
      </c>
      <c r="BP25" s="29">
        <f>'Tabel Offset'!N26</f>
        <v>7.2809999999999997</v>
      </c>
      <c r="BQ25" s="39">
        <f t="shared" si="34"/>
        <v>7.2809999999999997</v>
      </c>
      <c r="BR25" s="53">
        <f t="shared" si="35"/>
        <v>43.327300000000001</v>
      </c>
      <c r="BS25" s="56">
        <f t="shared" si="36"/>
        <v>14.442433333333334</v>
      </c>
      <c r="BT25" s="59">
        <f t="shared" si="37"/>
        <v>67.648899999999998</v>
      </c>
      <c r="BV25" s="44">
        <f>'Tabel Offset'!$A26</f>
        <v>17</v>
      </c>
      <c r="BW25" s="47">
        <f>IF(BV25="AP",0,IF(BV25="FP",'Tabel Offset'!$AA$4,BV25/20*'Tabel Offset'!$AA$4))</f>
        <v>80.809499999999986</v>
      </c>
      <c r="BX25" s="29">
        <f>'Tabel Offset'!N26</f>
        <v>7.2809999999999997</v>
      </c>
      <c r="BY25" s="42">
        <f t="shared" si="38"/>
        <v>7.2809999999999997</v>
      </c>
      <c r="BZ25" s="29">
        <f>'Tabel Offset'!O26</f>
        <v>7.3356000000000003</v>
      </c>
      <c r="CA25" s="42">
        <f t="shared" si="39"/>
        <v>29.342400000000001</v>
      </c>
      <c r="CB25" s="31">
        <f>'Tabel Offset'!P26</f>
        <v>7.3863000000000003</v>
      </c>
      <c r="CC25" s="39">
        <f t="shared" si="40"/>
        <v>7.3863000000000003</v>
      </c>
      <c r="CD25" s="53">
        <f t="shared" si="41"/>
        <v>44.009700000000002</v>
      </c>
      <c r="CE25" s="56">
        <f t="shared" si="42"/>
        <v>14.6699</v>
      </c>
      <c r="CF25" s="59">
        <f t="shared" si="43"/>
        <v>82.318799999999996</v>
      </c>
      <c r="CH25" s="44">
        <f>'Tabel Offset'!$A26</f>
        <v>17</v>
      </c>
      <c r="CI25" s="47">
        <f>IF(CH25="AP",0,IF(CH25="FP",'Tabel Offset'!$AA$4,CH25/20*'Tabel Offset'!$AA$4))</f>
        <v>80.809499999999986</v>
      </c>
      <c r="CJ25" s="31">
        <f>'Tabel Offset'!P26</f>
        <v>7.3863000000000003</v>
      </c>
      <c r="CK25" s="42">
        <f t="shared" si="44"/>
        <v>7.3863000000000003</v>
      </c>
      <c r="CL25" s="31">
        <f>'Tabel Offset'!Q26</f>
        <v>7.4101999999999997</v>
      </c>
      <c r="CM25" s="42">
        <f t="shared" si="45"/>
        <v>29.640799999999999</v>
      </c>
      <c r="CN25" s="31">
        <f>'Tabel Offset'!R26</f>
        <v>7.4332000000000003</v>
      </c>
      <c r="CO25" s="39">
        <f t="shared" si="46"/>
        <v>7.4332000000000003</v>
      </c>
      <c r="CP25" s="53">
        <f t="shared" si="47"/>
        <v>44.460299999999997</v>
      </c>
      <c r="CQ25" s="56">
        <f t="shared" si="48"/>
        <v>7.4100499999999991</v>
      </c>
      <c r="CR25" s="59">
        <f t="shared" si="49"/>
        <v>89.728849999999994</v>
      </c>
      <c r="CT25" s="44">
        <f>'Tabel Offset'!$A26</f>
        <v>17</v>
      </c>
      <c r="CU25" s="47">
        <f>IF(CT25="AP",0,IF(CT25="FP",'Tabel Offset'!$AA$4,CT25/20*'Tabel Offset'!$AA$4))</f>
        <v>80.809499999999986</v>
      </c>
      <c r="CV25" s="31">
        <f>'Tabel Offset'!R26</f>
        <v>7.4332000000000003</v>
      </c>
      <c r="CW25" s="42">
        <f t="shared" si="117"/>
        <v>7.4332000000000003</v>
      </c>
      <c r="CX25" s="31">
        <f>'Tabel Offset'!S26</f>
        <v>7.4638999999999998</v>
      </c>
      <c r="CY25" s="42">
        <f t="shared" si="118"/>
        <v>29.855599999999999</v>
      </c>
      <c r="CZ25" s="31">
        <f>'Tabel Offset'!T26</f>
        <v>7.4930000000000003</v>
      </c>
      <c r="DA25" s="39">
        <f t="shared" si="119"/>
        <v>7.4930000000000003</v>
      </c>
      <c r="DB25" s="53">
        <f t="shared" si="120"/>
        <v>44.781800000000004</v>
      </c>
      <c r="DC25" s="56">
        <f t="shared" si="121"/>
        <v>10.44908666666667</v>
      </c>
      <c r="DD25" s="59">
        <f t="shared" si="122"/>
        <v>100.17793666666667</v>
      </c>
      <c r="DF25" s="44">
        <f>'Tabel Offset'!$A26</f>
        <v>17</v>
      </c>
      <c r="DG25" s="47">
        <f>IF(DF25="AP",0,IF(DF25="FP",'Tabel Offset'!$AA$4,DF25/20*'Tabel Offset'!$AA$4))</f>
        <v>80.809499999999986</v>
      </c>
      <c r="DH25" s="31">
        <f>'Tabel Offset'!T26</f>
        <v>7.4930000000000003</v>
      </c>
      <c r="DI25" s="42">
        <f t="shared" si="123"/>
        <v>7.4930000000000003</v>
      </c>
      <c r="DJ25" s="31">
        <f>'Tabel Offset'!U26</f>
        <v>7.5208000000000004</v>
      </c>
      <c r="DK25" s="42">
        <f t="shared" si="124"/>
        <v>30.083200000000001</v>
      </c>
      <c r="DL25" s="31">
        <f>'Tabel Offset'!V26</f>
        <v>7.5472999999999999</v>
      </c>
      <c r="DM25" s="39">
        <f t="shared" si="125"/>
        <v>7.5472999999999999</v>
      </c>
      <c r="DN25" s="53">
        <f t="shared" si="126"/>
        <v>45.1235</v>
      </c>
      <c r="DO25" s="56">
        <f t="shared" si="127"/>
        <v>10.528816666666669</v>
      </c>
      <c r="DP25" s="59">
        <f t="shared" si="128"/>
        <v>110.70675333333334</v>
      </c>
      <c r="DR25" s="44">
        <f>'Tabel Offset'!$A26</f>
        <v>17</v>
      </c>
      <c r="DS25" s="47">
        <f>IF(DR25="AP",0,IF(DR25="FP",'Tabel Offset'!$AA$4,DR25/20*'Tabel Offset'!$AA$4))</f>
        <v>80.809499999999986</v>
      </c>
      <c r="DT25" s="31">
        <f>'Tabel Offset'!V26</f>
        <v>7.5472999999999999</v>
      </c>
      <c r="DU25" s="42">
        <f t="shared" si="129"/>
        <v>7.5472999999999999</v>
      </c>
      <c r="DV25" s="74">
        <v>7.5864000000000003</v>
      </c>
      <c r="DW25" s="42">
        <f t="shared" si="130"/>
        <v>30.345600000000001</v>
      </c>
      <c r="DX25" s="77">
        <f t="shared" si="131"/>
        <v>8.4945000000000004</v>
      </c>
      <c r="DY25" s="74">
        <v>6.1870000000000003</v>
      </c>
      <c r="DZ25" s="39">
        <f t="shared" si="0"/>
        <v>6.1870000000000003</v>
      </c>
      <c r="EA25" s="74">
        <v>9.0890000000000004</v>
      </c>
      <c r="EB25" s="53">
        <f t="shared" si="1"/>
        <v>44.079899999999995</v>
      </c>
      <c r="EC25" s="56">
        <f t="shared" si="132"/>
        <v>17.470333699999998</v>
      </c>
      <c r="ED25" s="59">
        <f t="shared" si="68"/>
        <v>128.17708703333335</v>
      </c>
    </row>
    <row r="26" spans="1:134" ht="14.4" thickBot="1" x14ac:dyDescent="0.35">
      <c r="A26" s="24"/>
      <c r="B26" s="130">
        <f>'Tabel Offset'!$A27</f>
        <v>18</v>
      </c>
      <c r="C26" s="47">
        <f>IF(B26="AP",0,IF(B26="FP",'Tabel Offset'!$AA$4,B26/20*'Tabel Offset'!$AA$4))</f>
        <v>85.563000000000002</v>
      </c>
      <c r="D26" s="50">
        <f>'Tabel Offset'!B27</f>
        <v>3.1789999999999998</v>
      </c>
      <c r="E26" s="47">
        <f t="shared" si="2"/>
        <v>3.1789999999999998</v>
      </c>
      <c r="F26" s="50">
        <f>'Tabel Offset'!C27</f>
        <v>4.3305999999999996</v>
      </c>
      <c r="G26" s="88">
        <f t="shared" si="3"/>
        <v>17.322399999999998</v>
      </c>
      <c r="H26" s="29">
        <f>'Tabel Offset'!D27</f>
        <v>4.6711</v>
      </c>
      <c r="I26" s="39">
        <f t="shared" si="4"/>
        <v>4.6711</v>
      </c>
      <c r="J26" s="53">
        <f t="shared" si="5"/>
        <v>25.172499999999996</v>
      </c>
      <c r="K26" s="56">
        <f t="shared" si="6"/>
        <v>4.1954166666666657</v>
      </c>
      <c r="L26" s="58">
        <f t="shared" si="7"/>
        <v>4.1954166666666657</v>
      </c>
      <c r="N26" s="32">
        <f>'Tabel Offset'!$A27</f>
        <v>18</v>
      </c>
      <c r="O26" s="47">
        <f>IF(N26="AP",0,IF(N26="FP",'Tabel Offset'!$AA$4,N26/20*'Tabel Offset'!$AA$4))</f>
        <v>85.563000000000002</v>
      </c>
      <c r="P26" s="29">
        <f>'Tabel Offset'!D27</f>
        <v>4.6711</v>
      </c>
      <c r="Q26" s="42">
        <f t="shared" si="111"/>
        <v>4.6711</v>
      </c>
      <c r="R26" s="29">
        <f>'Tabel Offset'!E27</f>
        <v>4.8921000000000001</v>
      </c>
      <c r="S26" s="42">
        <f t="shared" si="112"/>
        <v>19.5684</v>
      </c>
      <c r="T26" s="29">
        <f>'Tabel Offset'!F27</f>
        <v>5.0568999999999997</v>
      </c>
      <c r="U26" s="39">
        <f t="shared" si="113"/>
        <v>5.0568999999999997</v>
      </c>
      <c r="V26" s="53">
        <f t="shared" si="114"/>
        <v>29.296399999999998</v>
      </c>
      <c r="W26" s="56">
        <f t="shared" si="115"/>
        <v>4.8827333333333325</v>
      </c>
      <c r="X26" s="59">
        <f t="shared" si="116"/>
        <v>9.0781499999999973</v>
      </c>
      <c r="Z26" s="32">
        <f>'Tabel Offset'!$A27</f>
        <v>18</v>
      </c>
      <c r="AA26" s="47">
        <f>IF(Z26="AP",0,IF(Z26="FP",'Tabel Offset'!$AA$4,Z26/20*'Tabel Offset'!$AA$4))</f>
        <v>85.563000000000002</v>
      </c>
      <c r="AB26" s="29">
        <f>'Tabel Offset'!F27</f>
        <v>5.0568999999999997</v>
      </c>
      <c r="AC26" s="42">
        <f t="shared" si="14"/>
        <v>5.0568999999999997</v>
      </c>
      <c r="AD26" s="29">
        <f>'Tabel Offset'!G27</f>
        <v>5.2984</v>
      </c>
      <c r="AE26" s="42">
        <f t="shared" si="15"/>
        <v>21.1936</v>
      </c>
      <c r="AF26" s="29">
        <f>'Tabel Offset'!H27</f>
        <v>5.4752999999999998</v>
      </c>
      <c r="AG26" s="39">
        <f t="shared" si="16"/>
        <v>5.4752999999999998</v>
      </c>
      <c r="AH26" s="53">
        <f t="shared" si="17"/>
        <v>31.7258</v>
      </c>
      <c r="AI26" s="56">
        <f t="shared" si="18"/>
        <v>10.575266666666666</v>
      </c>
      <c r="AJ26" s="59">
        <f t="shared" si="19"/>
        <v>19.653416666666665</v>
      </c>
      <c r="AL26" s="32">
        <f>'Tabel Offset'!$A27</f>
        <v>18</v>
      </c>
      <c r="AM26" s="47">
        <f>IF(AL26="AP",0,IF(AL26="FP",'Tabel Offset'!$AA$4,AL26/20*'Tabel Offset'!$AA$4))</f>
        <v>85.563000000000002</v>
      </c>
      <c r="AN26" s="29">
        <f>'Tabel Offset'!H27</f>
        <v>5.4752999999999998</v>
      </c>
      <c r="AO26" s="42">
        <f t="shared" si="20"/>
        <v>5.4752999999999998</v>
      </c>
      <c r="AP26" s="90">
        <f>'Tabel Offset'!I27</f>
        <v>5.6300999999999997</v>
      </c>
      <c r="AQ26" s="42">
        <f t="shared" si="21"/>
        <v>22.520399999999999</v>
      </c>
      <c r="AR26" s="29">
        <f>'Tabel Offset'!J27</f>
        <v>5.7756999999999996</v>
      </c>
      <c r="AS26" s="39">
        <f t="shared" si="22"/>
        <v>5.7756999999999996</v>
      </c>
      <c r="AT26" s="53">
        <f t="shared" si="23"/>
        <v>33.7714</v>
      </c>
      <c r="AU26" s="56">
        <f t="shared" si="24"/>
        <v>11.257133333333332</v>
      </c>
      <c r="AV26" s="59">
        <f t="shared" si="25"/>
        <v>30.910549999999997</v>
      </c>
      <c r="AX26" s="44">
        <f>'Tabel Offset'!$A27</f>
        <v>18</v>
      </c>
      <c r="AY26" s="47">
        <f>IF(AX26="AP",0,IF(AX26="FP",'Tabel Offset'!$AA$4,AX26/20*'Tabel Offset'!$AA$4))</f>
        <v>85.563000000000002</v>
      </c>
      <c r="AZ26" s="29">
        <f>'Tabel Offset'!J27</f>
        <v>5.7756999999999996</v>
      </c>
      <c r="BA26" s="42">
        <f t="shared" si="26"/>
        <v>5.7756999999999996</v>
      </c>
      <c r="BB26" s="29">
        <f>'Tabel Offset'!K27</f>
        <v>5.9154</v>
      </c>
      <c r="BC26" s="42">
        <f t="shared" si="27"/>
        <v>23.6616</v>
      </c>
      <c r="BD26" s="29">
        <f>'Tabel Offset'!L27</f>
        <v>6.0419</v>
      </c>
      <c r="BE26" s="39">
        <f t="shared" si="28"/>
        <v>6.0419</v>
      </c>
      <c r="BF26" s="53">
        <f t="shared" si="29"/>
        <v>35.479199999999999</v>
      </c>
      <c r="BG26" s="56">
        <f t="shared" si="30"/>
        <v>11.8264</v>
      </c>
      <c r="BH26" s="59">
        <f t="shared" si="31"/>
        <v>42.736949999999993</v>
      </c>
      <c r="BJ26" s="44">
        <f>'Tabel Offset'!$A27</f>
        <v>18</v>
      </c>
      <c r="BK26" s="47">
        <f>IF(BJ26="AP",0,IF(BJ26="FP",'Tabel Offset'!$AA$4,BJ26/20*'Tabel Offset'!$AA$4))</f>
        <v>85.563000000000002</v>
      </c>
      <c r="BL26" s="29">
        <f>'Tabel Offset'!L27</f>
        <v>6.0419</v>
      </c>
      <c r="BM26" s="42">
        <f t="shared" si="32"/>
        <v>6.0419</v>
      </c>
      <c r="BN26" s="29">
        <f>'Tabel Offset'!M27</f>
        <v>6.1513</v>
      </c>
      <c r="BO26" s="42">
        <f t="shared" si="33"/>
        <v>24.6052</v>
      </c>
      <c r="BP26" s="29">
        <f>'Tabel Offset'!N27</f>
        <v>6.2465000000000002</v>
      </c>
      <c r="BQ26" s="39">
        <f t="shared" si="34"/>
        <v>6.2465000000000002</v>
      </c>
      <c r="BR26" s="53">
        <f t="shared" si="35"/>
        <v>36.893599999999999</v>
      </c>
      <c r="BS26" s="56">
        <f t="shared" si="36"/>
        <v>12.297866666666666</v>
      </c>
      <c r="BT26" s="59">
        <f t="shared" si="37"/>
        <v>55.034816666666657</v>
      </c>
      <c r="BV26" s="44">
        <f>'Tabel Offset'!$A27</f>
        <v>18</v>
      </c>
      <c r="BW26" s="47">
        <f>IF(BV26="AP",0,IF(BV26="FP",'Tabel Offset'!$AA$4,BV26/20*'Tabel Offset'!$AA$4))</f>
        <v>85.563000000000002</v>
      </c>
      <c r="BX26" s="29">
        <f>'Tabel Offset'!N27</f>
        <v>6.2465000000000002</v>
      </c>
      <c r="BY26" s="42">
        <f t="shared" si="38"/>
        <v>6.2465000000000002</v>
      </c>
      <c r="BZ26" s="29">
        <f>'Tabel Offset'!O27</f>
        <v>6.3304</v>
      </c>
      <c r="CA26" s="42">
        <f t="shared" si="39"/>
        <v>25.3216</v>
      </c>
      <c r="CB26" s="31">
        <f>'Tabel Offset'!P27</f>
        <v>6.4053000000000004</v>
      </c>
      <c r="CC26" s="39">
        <f t="shared" si="40"/>
        <v>6.4053000000000004</v>
      </c>
      <c r="CD26" s="53">
        <f t="shared" si="41"/>
        <v>37.973399999999998</v>
      </c>
      <c r="CE26" s="56">
        <f t="shared" si="42"/>
        <v>12.657799999999998</v>
      </c>
      <c r="CF26" s="59">
        <f t="shared" si="43"/>
        <v>67.692616666666652</v>
      </c>
      <c r="CH26" s="44">
        <f>'Tabel Offset'!$A27</f>
        <v>18</v>
      </c>
      <c r="CI26" s="47">
        <f>IF(CH26="AP",0,IF(CH26="FP",'Tabel Offset'!$AA$4,CH26/20*'Tabel Offset'!$AA$4))</f>
        <v>85.563000000000002</v>
      </c>
      <c r="CJ26" s="31">
        <f>'Tabel Offset'!P27</f>
        <v>6.4053000000000004</v>
      </c>
      <c r="CK26" s="42">
        <f t="shared" si="44"/>
        <v>6.4053000000000004</v>
      </c>
      <c r="CL26" s="31">
        <f>'Tabel Offset'!Q27</f>
        <v>6.4401999999999999</v>
      </c>
      <c r="CM26" s="42">
        <f t="shared" si="45"/>
        <v>25.7608</v>
      </c>
      <c r="CN26" s="31">
        <f>'Tabel Offset'!R27</f>
        <v>6.4736000000000002</v>
      </c>
      <c r="CO26" s="39">
        <f t="shared" si="46"/>
        <v>6.4736000000000002</v>
      </c>
      <c r="CP26" s="53">
        <f t="shared" si="47"/>
        <v>38.639699999999998</v>
      </c>
      <c r="CQ26" s="56">
        <f t="shared" si="48"/>
        <v>6.4399499999999996</v>
      </c>
      <c r="CR26" s="59">
        <f t="shared" si="49"/>
        <v>74.132566666666648</v>
      </c>
      <c r="CT26" s="44">
        <f>'Tabel Offset'!$A27</f>
        <v>18</v>
      </c>
      <c r="CU26" s="47">
        <f>IF(CT26="AP",0,IF(CT26="FP",'Tabel Offset'!$AA$4,CT26/20*'Tabel Offset'!$AA$4))</f>
        <v>85.563000000000002</v>
      </c>
      <c r="CV26" s="31">
        <f>'Tabel Offset'!R27</f>
        <v>6.4736000000000002</v>
      </c>
      <c r="CW26" s="42">
        <f t="shared" si="117"/>
        <v>6.4736000000000002</v>
      </c>
      <c r="CX26" s="31">
        <f>'Tabel Offset'!S27</f>
        <v>6.5183</v>
      </c>
      <c r="CY26" s="42">
        <f t="shared" si="118"/>
        <v>26.0732</v>
      </c>
      <c r="CZ26" s="31">
        <f>'Tabel Offset'!T27</f>
        <v>6.5606</v>
      </c>
      <c r="DA26" s="39">
        <f t="shared" si="119"/>
        <v>6.5606</v>
      </c>
      <c r="DB26" s="53">
        <f t="shared" si="120"/>
        <v>39.107399999999998</v>
      </c>
      <c r="DC26" s="56">
        <f t="shared" si="121"/>
        <v>9.1250600000000013</v>
      </c>
      <c r="DD26" s="59">
        <f t="shared" si="122"/>
        <v>83.257626666666653</v>
      </c>
      <c r="DF26" s="44">
        <f>'Tabel Offset'!$A27</f>
        <v>18</v>
      </c>
      <c r="DG26" s="47">
        <f>IF(DF26="AP",0,IF(DF26="FP",'Tabel Offset'!$AA$4,DF26/20*'Tabel Offset'!$AA$4))</f>
        <v>85.563000000000002</v>
      </c>
      <c r="DH26" s="31">
        <f>'Tabel Offset'!T27</f>
        <v>6.5606</v>
      </c>
      <c r="DI26" s="42">
        <f t="shared" si="123"/>
        <v>6.5606</v>
      </c>
      <c r="DJ26" s="31">
        <f>'Tabel Offset'!U27</f>
        <v>6.6012000000000004</v>
      </c>
      <c r="DK26" s="42">
        <f t="shared" si="124"/>
        <v>26.404800000000002</v>
      </c>
      <c r="DL26" s="31">
        <f>'Tabel Offset'!V27</f>
        <v>6.6398999999999999</v>
      </c>
      <c r="DM26" s="39">
        <f t="shared" si="125"/>
        <v>6.6398999999999999</v>
      </c>
      <c r="DN26" s="53">
        <f t="shared" si="126"/>
        <v>39.6053</v>
      </c>
      <c r="DO26" s="56">
        <f t="shared" si="127"/>
        <v>9.2412366666666692</v>
      </c>
      <c r="DP26" s="59">
        <f t="shared" si="128"/>
        <v>92.498863333333318</v>
      </c>
      <c r="DR26" s="44">
        <f>'Tabel Offset'!$A27</f>
        <v>18</v>
      </c>
      <c r="DS26" s="47">
        <f>IF(DR26="AP",0,IF(DR26="FP",'Tabel Offset'!$AA$4,DR26/20*'Tabel Offset'!$AA$4))</f>
        <v>85.563000000000002</v>
      </c>
      <c r="DT26" s="31">
        <f>'Tabel Offset'!V27</f>
        <v>6.6398999999999999</v>
      </c>
      <c r="DU26" s="42">
        <f t="shared" si="129"/>
        <v>6.6398999999999999</v>
      </c>
      <c r="DV26" s="74">
        <v>6.7150999999999996</v>
      </c>
      <c r="DW26" s="42">
        <f t="shared" si="130"/>
        <v>26.860399999999998</v>
      </c>
      <c r="DX26" s="77">
        <f t="shared" si="131"/>
        <v>8.6442000000000014</v>
      </c>
      <c r="DY26" s="74">
        <v>4.8529999999999998</v>
      </c>
      <c r="DZ26" s="39">
        <f t="shared" si="0"/>
        <v>4.8529999999999998</v>
      </c>
      <c r="EA26" s="74">
        <v>9.3884000000000007</v>
      </c>
      <c r="EB26" s="53">
        <f t="shared" si="1"/>
        <v>38.353299999999997</v>
      </c>
      <c r="EC26" s="56">
        <f t="shared" si="132"/>
        <v>19.028350573333334</v>
      </c>
      <c r="ED26" s="59">
        <f t="shared" si="68"/>
        <v>111.52721390666665</v>
      </c>
    </row>
    <row r="27" spans="1:134" ht="14.4" thickBot="1" x14ac:dyDescent="0.35">
      <c r="A27" s="23"/>
      <c r="B27" s="130">
        <f>'Tabel Offset'!$A28</f>
        <v>18.5</v>
      </c>
      <c r="C27" s="47">
        <f>IF(B27="AP",0,IF(B27="FP",'Tabel Offset'!$AA$4,B27/20*'Tabel Offset'!$AA$4))</f>
        <v>87.939750000000004</v>
      </c>
      <c r="D27" s="50">
        <f>'Tabel Offset'!B28</f>
        <v>2.1280000000000001</v>
      </c>
      <c r="E27" s="47">
        <f t="shared" si="2"/>
        <v>2.1280000000000001</v>
      </c>
      <c r="F27" s="50">
        <f>'Tabel Offset'!C28</f>
        <v>3.3748999999999998</v>
      </c>
      <c r="G27" s="88">
        <f t="shared" si="3"/>
        <v>13.499599999999999</v>
      </c>
      <c r="H27" s="29">
        <f>'Tabel Offset'!D28</f>
        <v>3.6999</v>
      </c>
      <c r="I27" s="39">
        <f t="shared" si="4"/>
        <v>3.6999</v>
      </c>
      <c r="J27" s="53">
        <f t="shared" ref="J27:J28" si="133">SUM(E27,G27,I27)</f>
        <v>19.327500000000001</v>
      </c>
      <c r="K27" s="56">
        <f t="shared" si="6"/>
        <v>3.2212499999999999</v>
      </c>
      <c r="L27" s="58">
        <f t="shared" si="7"/>
        <v>3.2212499999999999</v>
      </c>
      <c r="N27" s="32">
        <f>'Tabel Offset'!$A28</f>
        <v>18.5</v>
      </c>
      <c r="O27" s="47">
        <f>IF(N27="AP",0,IF(N27="FP",'Tabel Offset'!$AA$4,N27/20*'Tabel Offset'!$AA$4))</f>
        <v>87.939750000000004</v>
      </c>
      <c r="P27" s="29">
        <f>'Tabel Offset'!D27</f>
        <v>4.6711</v>
      </c>
      <c r="Q27" s="42">
        <f t="shared" si="111"/>
        <v>4.6711</v>
      </c>
      <c r="R27" s="29">
        <f>'Tabel Offset'!E28</f>
        <v>3.8942000000000001</v>
      </c>
      <c r="S27" s="42">
        <f t="shared" si="112"/>
        <v>15.5768</v>
      </c>
      <c r="T27" s="29">
        <f>'Tabel Offset'!F28</f>
        <v>4.0415000000000001</v>
      </c>
      <c r="U27" s="39">
        <f t="shared" si="113"/>
        <v>4.0415000000000001</v>
      </c>
      <c r="V27" s="53">
        <f t="shared" si="114"/>
        <v>24.289400000000001</v>
      </c>
      <c r="W27" s="56">
        <f t="shared" si="115"/>
        <v>4.0482333333333331</v>
      </c>
      <c r="X27" s="59">
        <f t="shared" si="116"/>
        <v>7.2694833333333335</v>
      </c>
      <c r="Z27" s="32">
        <f>'Tabel Offset'!$A28</f>
        <v>18.5</v>
      </c>
      <c r="AA27" s="47">
        <f>IF(Z27="AP",0,IF(Z27="FP",'Tabel Offset'!$AA$4,Z27/20*'Tabel Offset'!$AA$4))</f>
        <v>87.939750000000004</v>
      </c>
      <c r="AB27" s="29">
        <f>'Tabel Offset'!F28</f>
        <v>4.0415000000000001</v>
      </c>
      <c r="AC27" s="42">
        <f t="shared" si="14"/>
        <v>4.0415000000000001</v>
      </c>
      <c r="AD27" s="29">
        <f>'Tabel Offset'!G28</f>
        <v>4.2907000000000002</v>
      </c>
      <c r="AE27" s="42">
        <f t="shared" si="15"/>
        <v>17.162800000000001</v>
      </c>
      <c r="AF27" s="29">
        <f>'Tabel Offset'!H28</f>
        <v>4.4932999999999996</v>
      </c>
      <c r="AG27" s="39">
        <f t="shared" si="16"/>
        <v>4.4932999999999996</v>
      </c>
      <c r="AH27" s="53">
        <f t="shared" si="17"/>
        <v>25.697600000000001</v>
      </c>
      <c r="AI27" s="56">
        <f t="shared" si="18"/>
        <v>8.5658666666666665</v>
      </c>
      <c r="AJ27" s="59">
        <f t="shared" si="19"/>
        <v>15.83535</v>
      </c>
      <c r="AL27" s="32">
        <f>'Tabel Offset'!$A28</f>
        <v>18.5</v>
      </c>
      <c r="AM27" s="47">
        <f>IF(AL27="AP",0,IF(AL27="FP",'Tabel Offset'!$AA$4,AL27/20*'Tabel Offset'!$AA$4))</f>
        <v>87.939750000000004</v>
      </c>
      <c r="AN27" s="29">
        <f>'Tabel Offset'!H28</f>
        <v>4.4932999999999996</v>
      </c>
      <c r="AO27" s="42">
        <f t="shared" si="20"/>
        <v>4.4932999999999996</v>
      </c>
      <c r="AP27" s="90">
        <f>'Tabel Offset'!I28</f>
        <v>4.6650999999999998</v>
      </c>
      <c r="AQ27" s="42">
        <f t="shared" si="21"/>
        <v>18.660399999999999</v>
      </c>
      <c r="AR27" s="29">
        <f>'Tabel Offset'!J28</f>
        <v>4.8253000000000004</v>
      </c>
      <c r="AS27" s="39">
        <f t="shared" si="22"/>
        <v>4.8253000000000004</v>
      </c>
      <c r="AT27" s="53">
        <f t="shared" si="23"/>
        <v>27.978999999999999</v>
      </c>
      <c r="AU27" s="56">
        <f t="shared" si="24"/>
        <v>9.3263333333333325</v>
      </c>
      <c r="AV27" s="59">
        <f t="shared" si="25"/>
        <v>25.161683333333333</v>
      </c>
      <c r="AX27" s="44">
        <f>'Tabel Offset'!$A28</f>
        <v>18.5</v>
      </c>
      <c r="AY27" s="47">
        <f>IF(AX27="AP",0,IF(AX27="FP",'Tabel Offset'!$AA$4,AX27/20*'Tabel Offset'!$AA$4))</f>
        <v>87.939750000000004</v>
      </c>
      <c r="AZ27" s="29">
        <f>'Tabel Offset'!J28</f>
        <v>4.8253000000000004</v>
      </c>
      <c r="BA27" s="42">
        <f t="shared" si="26"/>
        <v>4.8253000000000004</v>
      </c>
      <c r="BB27" s="29">
        <f>'Tabel Offset'!K28</f>
        <v>4.9787999999999997</v>
      </c>
      <c r="BC27" s="42">
        <f t="shared" si="27"/>
        <v>19.915199999999999</v>
      </c>
      <c r="BD27" s="29">
        <f>'Tabel Offset'!L28</f>
        <v>5.1276999999999999</v>
      </c>
      <c r="BE27" s="39">
        <f t="shared" si="28"/>
        <v>5.1276999999999999</v>
      </c>
      <c r="BF27" s="53">
        <f t="shared" si="29"/>
        <v>29.868199999999998</v>
      </c>
      <c r="BG27" s="56">
        <f t="shared" si="30"/>
        <v>9.9560666666666648</v>
      </c>
      <c r="BH27" s="59">
        <f t="shared" si="31"/>
        <v>35.117750000000001</v>
      </c>
      <c r="BJ27" s="44">
        <f>'Tabel Offset'!$A28</f>
        <v>18.5</v>
      </c>
      <c r="BK27" s="47">
        <f>IF(BJ27="AP",0,IF(BJ27="FP",'Tabel Offset'!$AA$4,BJ27/20*'Tabel Offset'!$AA$4))</f>
        <v>87.939750000000004</v>
      </c>
      <c r="BL27" s="29">
        <f>'Tabel Offset'!L28</f>
        <v>5.1276999999999999</v>
      </c>
      <c r="BM27" s="42">
        <f t="shared" si="32"/>
        <v>5.1276999999999999</v>
      </c>
      <c r="BN27" s="29">
        <f>'Tabel Offset'!M28</f>
        <v>5.2645999999999997</v>
      </c>
      <c r="BO27" s="42">
        <f t="shared" si="33"/>
        <v>21.058399999999999</v>
      </c>
      <c r="BP27" s="29">
        <f>'Tabel Offset'!N28</f>
        <v>5.8920000000000003</v>
      </c>
      <c r="BQ27" s="39">
        <f t="shared" si="34"/>
        <v>5.8920000000000003</v>
      </c>
      <c r="BR27" s="53">
        <f t="shared" si="35"/>
        <v>32.078099999999999</v>
      </c>
      <c r="BS27" s="56">
        <f t="shared" si="36"/>
        <v>10.692699999999999</v>
      </c>
      <c r="BT27" s="59">
        <f t="shared" si="37"/>
        <v>45.810450000000003</v>
      </c>
      <c r="BV27" s="44">
        <f>'Tabel Offset'!$A28</f>
        <v>18.5</v>
      </c>
      <c r="BW27" s="47">
        <f>IF(BV27="AP",0,IF(BV27="FP",'Tabel Offset'!$AA$4,BV27/20*'Tabel Offset'!$AA$4))</f>
        <v>87.939750000000004</v>
      </c>
      <c r="BX27" s="29">
        <f>'Tabel Offset'!N28</f>
        <v>5.8920000000000003</v>
      </c>
      <c r="BY27" s="42">
        <f t="shared" si="38"/>
        <v>5.8920000000000003</v>
      </c>
      <c r="BZ27" s="29">
        <f>'Tabel Offset'!O28</f>
        <v>5.4962</v>
      </c>
      <c r="CA27" s="42">
        <f t="shared" si="39"/>
        <v>21.9848</v>
      </c>
      <c r="CB27" s="31">
        <f>'Tabel Offset'!P28</f>
        <v>5.5946999999999996</v>
      </c>
      <c r="CC27" s="39">
        <f t="shared" si="40"/>
        <v>5.5946999999999996</v>
      </c>
      <c r="CD27" s="53">
        <f t="shared" si="41"/>
        <v>33.471499999999999</v>
      </c>
      <c r="CE27" s="56">
        <f t="shared" si="42"/>
        <v>11.157166666666665</v>
      </c>
      <c r="CF27" s="59">
        <f t="shared" si="43"/>
        <v>56.967616666666672</v>
      </c>
      <c r="CH27" s="44">
        <f>'Tabel Offset'!$A28</f>
        <v>18.5</v>
      </c>
      <c r="CI27" s="47">
        <f>IF(CH27="AP",0,IF(CH27="FP",'Tabel Offset'!$AA$4,CH27/20*'Tabel Offset'!$AA$4))</f>
        <v>87.939750000000004</v>
      </c>
      <c r="CJ27" s="31">
        <f>'Tabel Offset'!P28</f>
        <v>5.5946999999999996</v>
      </c>
      <c r="CK27" s="42">
        <f t="shared" si="44"/>
        <v>5.5946999999999996</v>
      </c>
      <c r="CL27" s="31">
        <f>'Tabel Offset'!Q28</f>
        <v>5.6402999999999999</v>
      </c>
      <c r="CM27" s="42">
        <f t="shared" si="45"/>
        <v>22.561199999999999</v>
      </c>
      <c r="CN27" s="31">
        <f>'Tabel Offset'!R28</f>
        <v>5.6837</v>
      </c>
      <c r="CO27" s="39">
        <f t="shared" si="46"/>
        <v>5.6837</v>
      </c>
      <c r="CP27" s="53">
        <f t="shared" si="47"/>
        <v>33.839599999999997</v>
      </c>
      <c r="CQ27" s="56">
        <f t="shared" si="48"/>
        <v>5.6399333333333326</v>
      </c>
      <c r="CR27" s="59">
        <f t="shared" si="49"/>
        <v>62.607550000000003</v>
      </c>
      <c r="CT27" s="44">
        <f>'Tabel Offset'!$A28</f>
        <v>18.5</v>
      </c>
      <c r="CU27" s="47">
        <f>IF(CT27="AP",0,IF(CT27="FP",'Tabel Offset'!$AA$4,CT27/20*'Tabel Offset'!$AA$4))</f>
        <v>87.939750000000004</v>
      </c>
      <c r="CV27" s="31">
        <f>'Tabel Offset'!R28</f>
        <v>5.6837</v>
      </c>
      <c r="CW27" s="42">
        <f t="shared" si="117"/>
        <v>5.6837</v>
      </c>
      <c r="CX27" s="31">
        <f>'Tabel Offset'!S28</f>
        <v>5.7411000000000003</v>
      </c>
      <c r="CY27" s="42">
        <f t="shared" si="118"/>
        <v>22.964400000000001</v>
      </c>
      <c r="CZ27" s="31">
        <f>'Tabel Offset'!T28</f>
        <v>5.7948000000000004</v>
      </c>
      <c r="DA27" s="39">
        <f t="shared" si="119"/>
        <v>5.7948000000000004</v>
      </c>
      <c r="DB27" s="53">
        <f t="shared" si="120"/>
        <v>34.442900000000002</v>
      </c>
      <c r="DC27" s="56">
        <f t="shared" si="121"/>
        <v>8.0366766666666685</v>
      </c>
      <c r="DD27" s="59">
        <f t="shared" si="122"/>
        <v>70.644226666666668</v>
      </c>
      <c r="DF27" s="44">
        <f>'Tabel Offset'!$A28</f>
        <v>18.5</v>
      </c>
      <c r="DG27" s="47">
        <f>IF(DF27="AP",0,IF(DF27="FP",'Tabel Offset'!$AA$4,DF27/20*'Tabel Offset'!$AA$4))</f>
        <v>87.939750000000004</v>
      </c>
      <c r="DH27" s="31">
        <f>'Tabel Offset'!T28</f>
        <v>5.7948000000000004</v>
      </c>
      <c r="DI27" s="42">
        <f t="shared" si="123"/>
        <v>5.7948000000000004</v>
      </c>
      <c r="DJ27" s="31">
        <f>'Tabel Offset'!U28</f>
        <v>5.8451000000000004</v>
      </c>
      <c r="DK27" s="42">
        <f t="shared" si="124"/>
        <v>23.380400000000002</v>
      </c>
      <c r="DL27" s="31">
        <f>'Tabel Offset'!V28</f>
        <v>5.8921999999999999</v>
      </c>
      <c r="DM27" s="39">
        <f t="shared" si="125"/>
        <v>5.8921999999999999</v>
      </c>
      <c r="DN27" s="53">
        <f t="shared" si="126"/>
        <v>35.067400000000006</v>
      </c>
      <c r="DO27" s="56">
        <f t="shared" si="127"/>
        <v>8.1823933333333372</v>
      </c>
      <c r="DP27" s="59">
        <f t="shared" si="128"/>
        <v>78.826620000000005</v>
      </c>
      <c r="DR27" s="44">
        <f>'Tabel Offset'!$A28</f>
        <v>18.5</v>
      </c>
      <c r="DS27" s="47">
        <f>IF(DR27="AP",0,IF(DR27="FP",'Tabel Offset'!$AA$4,DR27/20*'Tabel Offset'!$AA$4))</f>
        <v>87.939750000000004</v>
      </c>
      <c r="DT27" s="31">
        <f>'Tabel Offset'!V28</f>
        <v>5.8921999999999999</v>
      </c>
      <c r="DU27" s="42">
        <f t="shared" si="129"/>
        <v>5.8921999999999999</v>
      </c>
      <c r="DV27" s="74">
        <v>5.9954999999999998</v>
      </c>
      <c r="DW27" s="42">
        <f t="shared" si="130"/>
        <v>23.981999999999999</v>
      </c>
      <c r="DX27" s="77">
        <f t="shared" si="131"/>
        <v>8.7192000000000007</v>
      </c>
      <c r="DY27" s="74">
        <v>4.0220000000000002</v>
      </c>
      <c r="DZ27" s="39">
        <f t="shared" si="0"/>
        <v>4.0220000000000002</v>
      </c>
      <c r="EA27" s="74">
        <v>9.5383999999999993</v>
      </c>
      <c r="EB27" s="53">
        <f t="shared" si="1"/>
        <v>33.8962</v>
      </c>
      <c r="EC27" s="56">
        <f t="shared" si="132"/>
        <v>18.51184469333332</v>
      </c>
      <c r="ED27" s="59">
        <f t="shared" si="68"/>
        <v>97.338464693333322</v>
      </c>
    </row>
    <row r="28" spans="1:134" ht="14.4" thickBot="1" x14ac:dyDescent="0.35">
      <c r="A28" s="24"/>
      <c r="B28" s="130">
        <f>'Tabel Offset'!$A29</f>
        <v>19</v>
      </c>
      <c r="C28" s="47">
        <f>IF(B28="AP",0,IF(B28="FP",'Tabel Offset'!$AA$4,B28/20*'Tabel Offset'!$AA$4))</f>
        <v>90.316499999999991</v>
      </c>
      <c r="D28" s="50">
        <f>'Tabel Offset'!B29</f>
        <v>0.753</v>
      </c>
      <c r="E28" s="47">
        <f t="shared" si="2"/>
        <v>0.753</v>
      </c>
      <c r="F28" s="50">
        <f>'Tabel Offset'!C29</f>
        <v>2.0131000000000001</v>
      </c>
      <c r="G28" s="88">
        <f t="shared" si="3"/>
        <v>8.0524000000000004</v>
      </c>
      <c r="H28" s="29">
        <f>'Tabel Offset'!D29</f>
        <v>2.4033000000000002</v>
      </c>
      <c r="I28" s="39">
        <f t="shared" si="4"/>
        <v>2.4033000000000002</v>
      </c>
      <c r="J28" s="53">
        <f t="shared" si="133"/>
        <v>11.2087</v>
      </c>
      <c r="K28" s="56">
        <f t="shared" si="6"/>
        <v>1.8681166666666666</v>
      </c>
      <c r="L28" s="58">
        <f t="shared" si="7"/>
        <v>1.8681166666666666</v>
      </c>
      <c r="N28" s="32">
        <f>'Tabel Offset'!$A29</f>
        <v>19</v>
      </c>
      <c r="O28" s="47">
        <f>IF(N28="AP",0,IF(N28="FP",'Tabel Offset'!$AA$4,N28/20*'Tabel Offset'!$AA$4))</f>
        <v>90.316499999999991</v>
      </c>
      <c r="P28" s="29">
        <f>'Tabel Offset'!D29</f>
        <v>2.4033000000000002</v>
      </c>
      <c r="Q28" s="42">
        <f t="shared" si="111"/>
        <v>2.4033000000000002</v>
      </c>
      <c r="R28" s="29">
        <f>'Tabel Offset'!E29</f>
        <v>2.5996999999999999</v>
      </c>
      <c r="S28" s="42">
        <f t="shared" si="112"/>
        <v>10.3988</v>
      </c>
      <c r="T28" s="29">
        <f>'Tabel Offset'!F29</f>
        <v>2.7414000000000001</v>
      </c>
      <c r="U28" s="39">
        <f t="shared" si="113"/>
        <v>2.7414000000000001</v>
      </c>
      <c r="V28" s="53">
        <f t="shared" si="114"/>
        <v>15.5435</v>
      </c>
      <c r="W28" s="56">
        <f t="shared" si="115"/>
        <v>2.590583333333333</v>
      </c>
      <c r="X28" s="59">
        <f t="shared" si="116"/>
        <v>4.4586999999999994</v>
      </c>
      <c r="Z28" s="32">
        <f>'Tabel Offset'!$A29</f>
        <v>19</v>
      </c>
      <c r="AA28" s="47">
        <f>IF(Z28="AP",0,IF(Z28="FP",'Tabel Offset'!$AA$4,Z28/20*'Tabel Offset'!$AA$4))</f>
        <v>90.316499999999991</v>
      </c>
      <c r="AB28" s="29">
        <f>'Tabel Offset'!F29</f>
        <v>2.7414000000000001</v>
      </c>
      <c r="AC28" s="42">
        <f t="shared" si="14"/>
        <v>2.7414000000000001</v>
      </c>
      <c r="AD28" s="29">
        <f>'Tabel Offset'!G29</f>
        <v>2.9796</v>
      </c>
      <c r="AE28" s="42">
        <f t="shared" si="15"/>
        <v>11.9184</v>
      </c>
      <c r="AF28" s="29">
        <f>'Tabel Offset'!H29</f>
        <v>3.2048999999999999</v>
      </c>
      <c r="AG28" s="39">
        <f t="shared" si="16"/>
        <v>3.2048999999999999</v>
      </c>
      <c r="AH28" s="53">
        <f t="shared" si="17"/>
        <v>17.864699999999999</v>
      </c>
      <c r="AI28" s="56">
        <f t="shared" si="18"/>
        <v>5.9548999999999994</v>
      </c>
      <c r="AJ28" s="59">
        <f t="shared" si="19"/>
        <v>10.413599999999999</v>
      </c>
      <c r="AL28" s="32">
        <f>'Tabel Offset'!$A29</f>
        <v>19</v>
      </c>
      <c r="AM28" s="47">
        <f>IF(AL28="AP",0,IF(AL28="FP",'Tabel Offset'!$AA$4,AL28/20*'Tabel Offset'!$AA$4))</f>
        <v>90.316499999999991</v>
      </c>
      <c r="AN28" s="29">
        <f>'Tabel Offset'!H29</f>
        <v>3.2048999999999999</v>
      </c>
      <c r="AO28" s="42">
        <f t="shared" si="20"/>
        <v>3.2048999999999999</v>
      </c>
      <c r="AP28" s="90">
        <f>'Tabel Offset'!I29</f>
        <v>3.3936999999999999</v>
      </c>
      <c r="AQ28" s="42">
        <f t="shared" si="21"/>
        <v>13.5748</v>
      </c>
      <c r="AR28" s="29">
        <f>'Tabel Offset'!J29</f>
        <v>3.5577999999999999</v>
      </c>
      <c r="AS28" s="39">
        <f t="shared" si="22"/>
        <v>3.5577999999999999</v>
      </c>
      <c r="AT28" s="53">
        <f t="shared" si="23"/>
        <v>20.337499999999999</v>
      </c>
      <c r="AU28" s="56">
        <f t="shared" si="24"/>
        <v>6.7791666666666659</v>
      </c>
      <c r="AV28" s="59">
        <f t="shared" si="25"/>
        <v>17.192766666666664</v>
      </c>
      <c r="AX28" s="44">
        <f>'Tabel Offset'!$A29</f>
        <v>19</v>
      </c>
      <c r="AY28" s="47">
        <f>IF(AX28="AP",0,IF(AX28="FP",'Tabel Offset'!$AA$4,AX28/20*'Tabel Offset'!$AA$4))</f>
        <v>90.316499999999991</v>
      </c>
      <c r="AZ28" s="29">
        <f>'Tabel Offset'!J29</f>
        <v>3.5577999999999999</v>
      </c>
      <c r="BA28" s="42">
        <f t="shared" si="26"/>
        <v>3.5577999999999999</v>
      </c>
      <c r="BB28" s="29">
        <f>'Tabel Offset'!K29</f>
        <v>3.7153</v>
      </c>
      <c r="BC28" s="42">
        <f t="shared" si="27"/>
        <v>14.8612</v>
      </c>
      <c r="BD28" s="29">
        <f>'Tabel Offset'!L29</f>
        <v>3.8693</v>
      </c>
      <c r="BE28" s="39">
        <f t="shared" si="28"/>
        <v>3.8693</v>
      </c>
      <c r="BF28" s="53">
        <f t="shared" si="29"/>
        <v>22.2883</v>
      </c>
      <c r="BG28" s="56">
        <f t="shared" si="30"/>
        <v>7.4294333333333329</v>
      </c>
      <c r="BH28" s="59">
        <f t="shared" si="31"/>
        <v>24.622199999999996</v>
      </c>
      <c r="BJ28" s="44">
        <f>'Tabel Offset'!$A29</f>
        <v>19</v>
      </c>
      <c r="BK28" s="47">
        <f>IF(BJ28="AP",0,IF(BJ28="FP",'Tabel Offset'!$AA$4,BJ28/20*'Tabel Offset'!$AA$4))</f>
        <v>90.316499999999991</v>
      </c>
      <c r="BL28" s="29">
        <f>'Tabel Offset'!L29</f>
        <v>3.8693</v>
      </c>
      <c r="BM28" s="42">
        <f t="shared" si="32"/>
        <v>3.8693</v>
      </c>
      <c r="BN28" s="29">
        <f>'Tabel Offset'!M29</f>
        <v>4.0189000000000004</v>
      </c>
      <c r="BO28" s="42">
        <f t="shared" si="33"/>
        <v>16.075600000000001</v>
      </c>
      <c r="BP28" s="29">
        <f>'Tabel Offset'!N29</f>
        <v>4.16</v>
      </c>
      <c r="BQ28" s="39">
        <f t="shared" si="34"/>
        <v>4.16</v>
      </c>
      <c r="BR28" s="53">
        <f t="shared" si="35"/>
        <v>24.104900000000001</v>
      </c>
      <c r="BS28" s="56">
        <f t="shared" si="36"/>
        <v>8.0349666666666657</v>
      </c>
      <c r="BT28" s="59">
        <f t="shared" si="37"/>
        <v>32.657166666666662</v>
      </c>
      <c r="BV28" s="44">
        <f>'Tabel Offset'!$A29</f>
        <v>19</v>
      </c>
      <c r="BW28" s="47">
        <f>IF(BV28="AP",0,IF(BV28="FP",'Tabel Offset'!$AA$4,BV28/20*'Tabel Offset'!$AA$4))</f>
        <v>90.316499999999991</v>
      </c>
      <c r="BX28" s="29">
        <f>'Tabel Offset'!N29</f>
        <v>4.16</v>
      </c>
      <c r="BY28" s="42">
        <f t="shared" si="38"/>
        <v>4.16</v>
      </c>
      <c r="BZ28" s="29">
        <f>'Tabel Offset'!O29</f>
        <v>4.2919999999999998</v>
      </c>
      <c r="CA28" s="42">
        <f t="shared" si="39"/>
        <v>17.167999999999999</v>
      </c>
      <c r="CB28" s="31">
        <f>'Tabel Offset'!P29</f>
        <v>4.4134000000000002</v>
      </c>
      <c r="CC28" s="39">
        <f t="shared" si="40"/>
        <v>4.4134000000000002</v>
      </c>
      <c r="CD28" s="53">
        <f t="shared" si="41"/>
        <v>25.741399999999999</v>
      </c>
      <c r="CE28" s="56">
        <f t="shared" si="42"/>
        <v>8.5804666666666662</v>
      </c>
      <c r="CF28" s="59">
        <f t="shared" si="43"/>
        <v>41.237633333333328</v>
      </c>
      <c r="CH28" s="44">
        <f>'Tabel Offset'!$A29</f>
        <v>19</v>
      </c>
      <c r="CI28" s="47">
        <f>IF(CH28="AP",0,IF(CH28="FP",'Tabel Offset'!$AA$4,CH28/20*'Tabel Offset'!$AA$4))</f>
        <v>90.316499999999991</v>
      </c>
      <c r="CJ28" s="31">
        <f>'Tabel Offset'!P29</f>
        <v>4.4134000000000002</v>
      </c>
      <c r="CK28" s="42">
        <f t="shared" si="44"/>
        <v>4.4134000000000002</v>
      </c>
      <c r="CL28" s="31">
        <f>'Tabel Offset'!Q29</f>
        <v>4.4714</v>
      </c>
      <c r="CM28" s="42">
        <f t="shared" si="45"/>
        <v>17.8856</v>
      </c>
      <c r="CN28" s="31">
        <f>'Tabel Offset'!R29</f>
        <v>4.5270000000000001</v>
      </c>
      <c r="CO28" s="39">
        <f t="shared" si="46"/>
        <v>4.5270000000000001</v>
      </c>
      <c r="CP28" s="53">
        <f t="shared" si="47"/>
        <v>26.826000000000001</v>
      </c>
      <c r="CQ28" s="56">
        <f t="shared" si="48"/>
        <v>4.4710000000000001</v>
      </c>
      <c r="CR28" s="59">
        <f t="shared" si="49"/>
        <v>45.708633333333324</v>
      </c>
      <c r="CT28" s="44">
        <f>'Tabel Offset'!$A29</f>
        <v>19</v>
      </c>
      <c r="CU28" s="47">
        <f>IF(CT28="AP",0,IF(CT28="FP",'Tabel Offset'!$AA$4,CT28/20*'Tabel Offset'!$AA$4))</f>
        <v>90.316499999999991</v>
      </c>
      <c r="CV28" s="31">
        <f>'Tabel Offset'!R29</f>
        <v>4.5270000000000001</v>
      </c>
      <c r="CW28" s="42">
        <f t="shared" si="117"/>
        <v>4.5270000000000001</v>
      </c>
      <c r="CX28" s="31">
        <f>'Tabel Offset'!S29</f>
        <v>4.5986000000000002</v>
      </c>
      <c r="CY28" s="42">
        <f t="shared" si="118"/>
        <v>18.394400000000001</v>
      </c>
      <c r="CZ28" s="31">
        <f>'Tabel Offset'!T29</f>
        <v>4.6572199999999997</v>
      </c>
      <c r="DA28" s="39">
        <f t="shared" si="119"/>
        <v>4.6572199999999997</v>
      </c>
      <c r="DB28" s="53">
        <f t="shared" si="120"/>
        <v>27.578620000000001</v>
      </c>
      <c r="DC28" s="56">
        <f t="shared" si="121"/>
        <v>6.4350113333333354</v>
      </c>
      <c r="DD28" s="59">
        <f t="shared" si="122"/>
        <v>52.14364466666666</v>
      </c>
      <c r="DF28" s="44">
        <f>'Tabel Offset'!$A29</f>
        <v>19</v>
      </c>
      <c r="DG28" s="47">
        <f>IF(DF28="AP",0,IF(DF28="FP",'Tabel Offset'!$AA$4,DF28/20*'Tabel Offset'!$AA$4))</f>
        <v>90.316499999999991</v>
      </c>
      <c r="DH28" s="31">
        <f>'Tabel Offset'!T29</f>
        <v>4.6572199999999997</v>
      </c>
      <c r="DI28" s="42">
        <f t="shared" si="123"/>
        <v>4.6572199999999997</v>
      </c>
      <c r="DJ28" s="31">
        <f>'Tabel Offset'!U29</f>
        <v>4.7413999999999996</v>
      </c>
      <c r="DK28" s="42">
        <f t="shared" si="124"/>
        <v>18.965599999999998</v>
      </c>
      <c r="DL28" s="31">
        <f>'Tabel Offset'!V29</f>
        <v>4.8063000000000002</v>
      </c>
      <c r="DM28" s="39">
        <f t="shared" si="125"/>
        <v>4.8063000000000002</v>
      </c>
      <c r="DN28" s="53">
        <f t="shared" si="126"/>
        <v>28.429119999999998</v>
      </c>
      <c r="DO28" s="56">
        <f t="shared" si="127"/>
        <v>6.6334613333333348</v>
      </c>
      <c r="DP28" s="59">
        <f t="shared" si="128"/>
        <v>58.777105999999996</v>
      </c>
      <c r="DR28" s="44">
        <f>'Tabel Offset'!$A29</f>
        <v>19</v>
      </c>
      <c r="DS28" s="47">
        <f>IF(DR28="AP",0,IF(DR28="FP",'Tabel Offset'!$AA$4,DR28/20*'Tabel Offset'!$AA$4))</f>
        <v>90.316499999999991</v>
      </c>
      <c r="DT28" s="31">
        <f>'Tabel Offset'!V29</f>
        <v>4.8063000000000002</v>
      </c>
      <c r="DU28" s="42">
        <f t="shared" si="129"/>
        <v>4.8063000000000002</v>
      </c>
      <c r="DV28" s="74">
        <v>4.9656000000000002</v>
      </c>
      <c r="DW28" s="42">
        <f t="shared" si="130"/>
        <v>19.862400000000001</v>
      </c>
      <c r="DX28" s="77">
        <f t="shared" si="131"/>
        <v>8.7939000000000007</v>
      </c>
      <c r="DY28" s="74">
        <v>3.1219999999999999</v>
      </c>
      <c r="DZ28" s="39">
        <f t="shared" si="0"/>
        <v>3.1219999999999999</v>
      </c>
      <c r="EA28" s="74">
        <v>9.6877999999999993</v>
      </c>
      <c r="EB28" s="53">
        <f t="shared" ref="EB28" si="134">SUM(DU28,DW28,DZ28)</f>
        <v>27.790700000000001</v>
      </c>
      <c r="EC28" s="56">
        <f t="shared" ref="EC28" si="135">2*1/3*((EA28-DT$2)/2)*EB28</f>
        <v>16.561404486666657</v>
      </c>
      <c r="ED28" s="59">
        <f t="shared" si="68"/>
        <v>75.33851048666665</v>
      </c>
    </row>
    <row r="29" spans="1:134" ht="14.4" thickBot="1" x14ac:dyDescent="0.35">
      <c r="A29" s="23"/>
      <c r="B29" s="130">
        <f>'Tabel Offset'!$A30</f>
        <v>19.5</v>
      </c>
      <c r="C29" s="47">
        <f>IF(B29="AP",0,IF(B29="FP",'Tabel Offset'!$AA$4,B29/20*'Tabel Offset'!$AA$4))</f>
        <v>92.693249999999992</v>
      </c>
      <c r="D29" s="50">
        <f>'Tabel Offset'!B30</f>
        <v>0</v>
      </c>
      <c r="E29" s="47">
        <f t="shared" si="2"/>
        <v>0</v>
      </c>
      <c r="F29" s="50">
        <f>'Tabel Offset'!C30</f>
        <v>0</v>
      </c>
      <c r="G29" s="88">
        <f t="shared" si="3"/>
        <v>0</v>
      </c>
      <c r="H29" s="29">
        <f>'Tabel Offset'!D30</f>
        <v>0.41099999999999998</v>
      </c>
      <c r="I29" s="39">
        <f t="shared" si="4"/>
        <v>0.41099999999999998</v>
      </c>
      <c r="J29" s="53">
        <f t="shared" si="5"/>
        <v>0.41099999999999998</v>
      </c>
      <c r="K29" s="56">
        <f t="shared" si="6"/>
        <v>6.8499999999999991E-2</v>
      </c>
      <c r="L29" s="58">
        <f t="shared" si="7"/>
        <v>6.8499999999999991E-2</v>
      </c>
      <c r="N29" s="32">
        <f>'Tabel Offset'!$A30</f>
        <v>19.5</v>
      </c>
      <c r="O29" s="47">
        <f>IF(N29="AP",0,IF(N29="FP",'Tabel Offset'!$AA$4,N29/20*'Tabel Offset'!$AA$4))</f>
        <v>92.693249999999992</v>
      </c>
      <c r="P29" s="29">
        <f>'Tabel Offset'!D30</f>
        <v>0.41099999999999998</v>
      </c>
      <c r="Q29" s="42">
        <f t="shared" si="111"/>
        <v>0.41099999999999998</v>
      </c>
      <c r="R29" s="29">
        <f>'Tabel Offset'!E30</f>
        <v>0.7389</v>
      </c>
      <c r="S29" s="42">
        <f t="shared" si="112"/>
        <v>2.9556</v>
      </c>
      <c r="T29" s="29">
        <f>'Tabel Offset'!F30</f>
        <v>0.94689999999999996</v>
      </c>
      <c r="U29" s="39">
        <f t="shared" si="113"/>
        <v>0.94689999999999996</v>
      </c>
      <c r="V29" s="53">
        <f t="shared" si="114"/>
        <v>4.3135000000000003</v>
      </c>
      <c r="W29" s="56">
        <f t="shared" si="115"/>
        <v>0.71891666666666665</v>
      </c>
      <c r="X29" s="59">
        <f t="shared" si="116"/>
        <v>0.78741666666666665</v>
      </c>
      <c r="Z29" s="32">
        <f>'Tabel Offset'!$A30</f>
        <v>19.5</v>
      </c>
      <c r="AA29" s="47">
        <f>IF(Z29="AP",0,IF(Z29="FP",'Tabel Offset'!$AA$4,Z29/20*'Tabel Offset'!$AA$4))</f>
        <v>92.693249999999992</v>
      </c>
      <c r="AB29" s="29">
        <f>'Tabel Offset'!F30</f>
        <v>0.94689999999999996</v>
      </c>
      <c r="AC29" s="42">
        <f t="shared" si="14"/>
        <v>0.94689999999999996</v>
      </c>
      <c r="AD29" s="29">
        <f>'Tabel Offset'!G30</f>
        <v>1.1990000000000001</v>
      </c>
      <c r="AE29" s="42">
        <f t="shared" si="15"/>
        <v>4.7960000000000003</v>
      </c>
      <c r="AF29" s="29">
        <f>'Tabel Offset'!H30</f>
        <v>1.4209000000000001</v>
      </c>
      <c r="AG29" s="39">
        <f t="shared" si="16"/>
        <v>1.4209000000000001</v>
      </c>
      <c r="AH29" s="53">
        <f t="shared" si="17"/>
        <v>7.1638000000000002</v>
      </c>
      <c r="AI29" s="56">
        <f t="shared" si="18"/>
        <v>2.3879333333333332</v>
      </c>
      <c r="AJ29" s="59">
        <f t="shared" si="19"/>
        <v>3.1753499999999999</v>
      </c>
      <c r="AL29" s="32">
        <f>'Tabel Offset'!$A30</f>
        <v>19.5</v>
      </c>
      <c r="AM29" s="47">
        <f>IF(AL29="AP",0,IF(AL29="FP",'Tabel Offset'!$AA$4,AL29/20*'Tabel Offset'!$AA$4))</f>
        <v>92.693249999999992</v>
      </c>
      <c r="AN29" s="29">
        <f>'Tabel Offset'!H30</f>
        <v>1.4209000000000001</v>
      </c>
      <c r="AO29" s="42">
        <f t="shared" si="20"/>
        <v>1.4209000000000001</v>
      </c>
      <c r="AP29" s="90">
        <f>'Tabel Offset'!I30</f>
        <v>1.629</v>
      </c>
      <c r="AQ29" s="42">
        <f t="shared" si="21"/>
        <v>6.516</v>
      </c>
      <c r="AR29" s="29">
        <f>'Tabel Offset'!J30</f>
        <v>1.8140000000000001</v>
      </c>
      <c r="AS29" s="39">
        <f t="shared" si="22"/>
        <v>1.8140000000000001</v>
      </c>
      <c r="AT29" s="53">
        <f t="shared" si="23"/>
        <v>9.7508999999999997</v>
      </c>
      <c r="AU29" s="56">
        <f t="shared" si="24"/>
        <v>3.2502999999999997</v>
      </c>
      <c r="AV29" s="59">
        <f t="shared" si="25"/>
        <v>6.4256499999999992</v>
      </c>
      <c r="AX29" s="44">
        <f>'Tabel Offset'!$A30</f>
        <v>19.5</v>
      </c>
      <c r="AY29" s="47">
        <f>IF(AX29="AP",0,IF(AX29="FP",'Tabel Offset'!$AA$4,AX29/20*'Tabel Offset'!$AA$4))</f>
        <v>92.693249999999992</v>
      </c>
      <c r="AZ29" s="29">
        <f>'Tabel Offset'!J30</f>
        <v>1.8140000000000001</v>
      </c>
      <c r="BA29" s="42">
        <f t="shared" si="26"/>
        <v>1.8140000000000001</v>
      </c>
      <c r="BB29" s="29">
        <f>'Tabel Offset'!K30</f>
        <v>1.9724999999999999</v>
      </c>
      <c r="BC29" s="42">
        <f t="shared" si="27"/>
        <v>7.89</v>
      </c>
      <c r="BD29" s="29">
        <f>'Tabel Offset'!L30</f>
        <v>2.1211000000000002</v>
      </c>
      <c r="BE29" s="39">
        <f t="shared" si="28"/>
        <v>2.1211000000000002</v>
      </c>
      <c r="BF29" s="53">
        <f t="shared" si="29"/>
        <v>11.825100000000001</v>
      </c>
      <c r="BG29" s="56">
        <f t="shared" si="30"/>
        <v>3.9417</v>
      </c>
      <c r="BH29" s="59">
        <f t="shared" si="31"/>
        <v>10.367349999999998</v>
      </c>
      <c r="BJ29" s="44">
        <f>'Tabel Offset'!$A30</f>
        <v>19.5</v>
      </c>
      <c r="BK29" s="47">
        <f>IF(BJ29="AP",0,IF(BJ29="FP",'Tabel Offset'!$AA$4,BJ29/20*'Tabel Offset'!$AA$4))</f>
        <v>92.693249999999992</v>
      </c>
      <c r="BL29" s="29">
        <f>'Tabel Offset'!L30</f>
        <v>2.1211000000000002</v>
      </c>
      <c r="BM29" s="42">
        <f t="shared" si="32"/>
        <v>2.1211000000000002</v>
      </c>
      <c r="BN29" s="29">
        <f>'Tabel Offset'!M30</f>
        <v>2.2650000000000001</v>
      </c>
      <c r="BO29" s="42">
        <f t="shared" si="33"/>
        <v>9.06</v>
      </c>
      <c r="BP29" s="29">
        <f>'Tabel Offset'!N30</f>
        <v>2.4045999999999998</v>
      </c>
      <c r="BQ29" s="39">
        <f t="shared" si="34"/>
        <v>2.4045999999999998</v>
      </c>
      <c r="BR29" s="53">
        <f t="shared" si="35"/>
        <v>13.585700000000001</v>
      </c>
      <c r="BS29" s="56">
        <f t="shared" si="36"/>
        <v>4.5285666666666664</v>
      </c>
      <c r="BT29" s="59">
        <f t="shared" si="37"/>
        <v>14.895916666666665</v>
      </c>
      <c r="BV29" s="44">
        <f>'Tabel Offset'!$A30</f>
        <v>19.5</v>
      </c>
      <c r="BW29" s="47">
        <f>IF(BV29="AP",0,IF(BV29="FP",'Tabel Offset'!$AA$4,BV29/20*'Tabel Offset'!$AA$4))</f>
        <v>92.693249999999992</v>
      </c>
      <c r="BX29" s="29">
        <f>'Tabel Offset'!N30</f>
        <v>2.4045999999999998</v>
      </c>
      <c r="BY29" s="42">
        <f t="shared" si="38"/>
        <v>2.4045999999999998</v>
      </c>
      <c r="BZ29" s="29">
        <f>'Tabel Offset'!O30</f>
        <v>2.5406</v>
      </c>
      <c r="CA29" s="42">
        <f t="shared" si="39"/>
        <v>10.1624</v>
      </c>
      <c r="CB29" s="31">
        <f>'Tabel Offset'!P30</f>
        <v>2.6728999999999998</v>
      </c>
      <c r="CC29" s="39">
        <f t="shared" si="40"/>
        <v>2.6728999999999998</v>
      </c>
      <c r="CD29" s="53">
        <f t="shared" si="41"/>
        <v>15.2399</v>
      </c>
      <c r="CE29" s="56">
        <f t="shared" si="42"/>
        <v>5.0799666666666665</v>
      </c>
      <c r="CF29" s="59">
        <f t="shared" si="43"/>
        <v>19.975883333333332</v>
      </c>
      <c r="CH29" s="44">
        <f>'Tabel Offset'!$A30</f>
        <v>19.5</v>
      </c>
      <c r="CI29" s="47">
        <f>IF(CH29="AP",0,IF(CH29="FP",'Tabel Offset'!$AA$4,CH29/20*'Tabel Offset'!$AA$4))</f>
        <v>92.693249999999992</v>
      </c>
      <c r="CJ29" s="31">
        <f>'Tabel Offset'!P30</f>
        <v>2.6728999999999998</v>
      </c>
      <c r="CK29" s="42">
        <f t="shared" si="44"/>
        <v>2.6728999999999998</v>
      </c>
      <c r="CL29" s="31">
        <f>'Tabel Offset'!Q30</f>
        <v>2.7376</v>
      </c>
      <c r="CM29" s="42">
        <f t="shared" si="45"/>
        <v>10.9504</v>
      </c>
      <c r="CN29" s="31">
        <f>'Tabel Offset'!R30</f>
        <v>2.8012999999999999</v>
      </c>
      <c r="CO29" s="39">
        <f t="shared" si="46"/>
        <v>2.8012999999999999</v>
      </c>
      <c r="CP29" s="53">
        <f t="shared" si="47"/>
        <v>16.424600000000002</v>
      </c>
      <c r="CQ29" s="56">
        <f t="shared" si="48"/>
        <v>2.7374333333333336</v>
      </c>
      <c r="CR29" s="59">
        <f t="shared" si="49"/>
        <v>22.713316666666664</v>
      </c>
      <c r="CT29" s="44">
        <f>'Tabel Offset'!$A30</f>
        <v>19.5</v>
      </c>
      <c r="CU29" s="47">
        <f>IF(CT29="AP",0,IF(CT29="FP",'Tabel Offset'!$AA$4,CT29/20*'Tabel Offset'!$AA$4))</f>
        <v>92.693249999999992</v>
      </c>
      <c r="CV29" s="31">
        <f>'Tabel Offset'!R30</f>
        <v>2.8012999999999999</v>
      </c>
      <c r="CW29" s="42">
        <f t="shared" ref="CW29:CW30" si="136">CV29*CW$4</f>
        <v>2.8012999999999999</v>
      </c>
      <c r="CX29" s="31">
        <f>'Tabel Offset'!S30</f>
        <v>2.8885000000000001</v>
      </c>
      <c r="CY29" s="42">
        <f t="shared" ref="CY29:CY30" si="137">CX29*CY$4</f>
        <v>11.554</v>
      </c>
      <c r="CZ29" s="31">
        <f>'Tabel Offset'!T30</f>
        <v>2.9731000000000001</v>
      </c>
      <c r="DA29" s="39">
        <f t="shared" ref="DA29:DA30" si="138">CZ29*DA$4</f>
        <v>2.9731000000000001</v>
      </c>
      <c r="DB29" s="53">
        <f t="shared" ref="DB29:DB30" si="139">SUM(CW29,CY29,DA29)</f>
        <v>17.328399999999998</v>
      </c>
      <c r="DC29" s="56">
        <f t="shared" ref="DC29:DC30" si="140">2*1/3*DB$2*DB29</f>
        <v>4.0432933333333336</v>
      </c>
      <c r="DD29" s="59">
        <f t="shared" ref="DD29:DD30" si="141">DC29+CR29</f>
        <v>26.756609999999998</v>
      </c>
      <c r="DF29" s="44">
        <f>'Tabel Offset'!$A30</f>
        <v>19.5</v>
      </c>
      <c r="DG29" s="47">
        <f>IF(DF29="AP",0,IF(DF29="FP",'Tabel Offset'!$AA$4,DF29/20*'Tabel Offset'!$AA$4))</f>
        <v>92.693249999999992</v>
      </c>
      <c r="DH29" s="31">
        <f>'Tabel Offset'!T30</f>
        <v>2.9731000000000001</v>
      </c>
      <c r="DI29" s="42">
        <f t="shared" ref="DI29:DI30" si="142">DH29*DI$4</f>
        <v>2.9731000000000001</v>
      </c>
      <c r="DJ29" s="31">
        <f>'Tabel Offset'!U30</f>
        <v>3.0548999999999999</v>
      </c>
      <c r="DK29" s="42">
        <f t="shared" ref="DK29:DK30" si="143">DJ29*DK$4</f>
        <v>12.2196</v>
      </c>
      <c r="DL29" s="31">
        <f>'Tabel Offset'!V30</f>
        <v>3.3134299999999999</v>
      </c>
      <c r="DM29" s="39">
        <f t="shared" ref="DM29:DM30" si="144">DL29*DM$4</f>
        <v>3.3134299999999999</v>
      </c>
      <c r="DN29" s="53">
        <f t="shared" ref="DN29:DN30" si="145">SUM(DI29,DK29,DM29)</f>
        <v>18.506129999999999</v>
      </c>
      <c r="DO29" s="56">
        <f t="shared" ref="DO29:DO30" si="146">2*1/3*DN$2*DN29</f>
        <v>4.3180970000000007</v>
      </c>
      <c r="DP29" s="59">
        <f t="shared" si="128"/>
        <v>31.074707</v>
      </c>
      <c r="DR29" s="44">
        <f>'Tabel Offset'!$A30</f>
        <v>19.5</v>
      </c>
      <c r="DS29" s="47">
        <f>IF(DR29="AP",0,IF(DR29="FP",'Tabel Offset'!$AA$4,DR29/20*'Tabel Offset'!$AA$4))</f>
        <v>92.693249999999992</v>
      </c>
      <c r="DT29" s="31">
        <f>'Tabel Offset'!V30</f>
        <v>3.3134299999999999</v>
      </c>
      <c r="DU29" s="42">
        <f t="shared" ref="DU29:DU30" si="147">DT29*DU$4</f>
        <v>3.3134299999999999</v>
      </c>
      <c r="DV29" s="74">
        <v>3.3641999999999999</v>
      </c>
      <c r="DW29" s="42">
        <f t="shared" si="130"/>
        <v>13.456799999999999</v>
      </c>
      <c r="DX29" s="77">
        <f t="shared" si="131"/>
        <v>8.8689</v>
      </c>
      <c r="DY29" s="74">
        <v>2.7280000000000002</v>
      </c>
      <c r="DZ29" s="39">
        <f t="shared" si="0"/>
        <v>2.7280000000000002</v>
      </c>
      <c r="EA29" s="74">
        <v>9.8377999999999997</v>
      </c>
      <c r="EB29" s="53">
        <f t="shared" ref="EB29:EB30" si="148">SUM(DU29,DW29,DZ29)</f>
        <v>19.49823</v>
      </c>
      <c r="EC29" s="56">
        <f t="shared" ref="EC29:EC30" si="149">2*1/3*((EA29-DT$2)/2)*EB29</f>
        <v>12.594556697999995</v>
      </c>
      <c r="ED29" s="59">
        <f t="shared" si="68"/>
        <v>43.669263697999995</v>
      </c>
    </row>
    <row r="30" spans="1:134" ht="14.4" thickBot="1" x14ac:dyDescent="0.35">
      <c r="A30" s="23"/>
      <c r="B30" s="187" t="str">
        <f>'Tabel Offset'!$A31</f>
        <v>FP</v>
      </c>
      <c r="C30" s="48">
        <f>IF(B30="AP",0,IF(B30="FP",'Tabel Offset'!$AA$4,B30/20*'Tabel Offset'!$AA$4))</f>
        <v>95.07</v>
      </c>
      <c r="D30" s="51">
        <f>'Tabel Offset'!B31</f>
        <v>0</v>
      </c>
      <c r="E30" s="48">
        <f t="shared" si="2"/>
        <v>0</v>
      </c>
      <c r="F30" s="51">
        <f>'Tabel Offset'!C31</f>
        <v>0</v>
      </c>
      <c r="G30" s="89">
        <f t="shared" si="3"/>
        <v>0</v>
      </c>
      <c r="H30" s="30">
        <f>'Tabel Offset'!D31</f>
        <v>0</v>
      </c>
      <c r="I30" s="40">
        <f t="shared" si="4"/>
        <v>0</v>
      </c>
      <c r="J30" s="54">
        <f t="shared" si="5"/>
        <v>0</v>
      </c>
      <c r="K30" s="57">
        <f t="shared" si="6"/>
        <v>0</v>
      </c>
      <c r="L30" s="62">
        <f t="shared" si="7"/>
        <v>0</v>
      </c>
      <c r="N30" s="32" t="str">
        <f>'Tabel Offset'!$A31</f>
        <v>FP</v>
      </c>
      <c r="O30" s="48">
        <f>IF(N30="AP",0,IF(N30="FP",'Tabel Offset'!$AA$4,N30/20*'Tabel Offset'!$AA$4))</f>
        <v>95.07</v>
      </c>
      <c r="P30" s="30">
        <f>'Tabel Offset'!D31</f>
        <v>0</v>
      </c>
      <c r="Q30" s="43">
        <f t="shared" si="111"/>
        <v>0</v>
      </c>
      <c r="R30" s="30">
        <f>'Tabel Offset'!E31</f>
        <v>0</v>
      </c>
      <c r="S30" s="43">
        <f t="shared" si="112"/>
        <v>0</v>
      </c>
      <c r="T30" s="30">
        <f>'Tabel Offset'!F31</f>
        <v>0</v>
      </c>
      <c r="U30" s="40">
        <f t="shared" si="113"/>
        <v>0</v>
      </c>
      <c r="V30" s="54">
        <f t="shared" si="114"/>
        <v>0</v>
      </c>
      <c r="W30" s="57">
        <f t="shared" si="115"/>
        <v>0</v>
      </c>
      <c r="X30" s="60">
        <f t="shared" si="116"/>
        <v>0</v>
      </c>
      <c r="Z30" s="32" t="str">
        <f>'Tabel Offset'!$A31</f>
        <v>FP</v>
      </c>
      <c r="AA30" s="48">
        <f>IF(Z30="AP",0,IF(Z30="FP",'Tabel Offset'!$AA$4,Z30/20*'Tabel Offset'!$AA$4))</f>
        <v>95.07</v>
      </c>
      <c r="AB30" s="30">
        <f>'Tabel Offset'!F31</f>
        <v>0</v>
      </c>
      <c r="AC30" s="43">
        <f t="shared" si="14"/>
        <v>0</v>
      </c>
      <c r="AD30" s="29">
        <f>'Tabel Offset'!G31</f>
        <v>0</v>
      </c>
      <c r="AE30" s="43">
        <f t="shared" si="15"/>
        <v>0</v>
      </c>
      <c r="AF30" s="29">
        <f>'Tabel Offset'!H31</f>
        <v>0</v>
      </c>
      <c r="AG30" s="40">
        <f t="shared" si="16"/>
        <v>0</v>
      </c>
      <c r="AH30" s="54">
        <f t="shared" si="17"/>
        <v>0</v>
      </c>
      <c r="AI30" s="57">
        <f t="shared" si="18"/>
        <v>0</v>
      </c>
      <c r="AJ30" s="60">
        <f t="shared" si="19"/>
        <v>0</v>
      </c>
      <c r="AL30" s="187" t="str">
        <f>'Tabel Offset'!$A31</f>
        <v>FP</v>
      </c>
      <c r="AM30" s="48">
        <f>IF(AL30="AP",0,IF(AL30="FP",'Tabel Offset'!$AA$4,AL30/20*'Tabel Offset'!$AA$4))</f>
        <v>95.07</v>
      </c>
      <c r="AN30" s="29">
        <f>'Tabel Offset'!H31</f>
        <v>0</v>
      </c>
      <c r="AO30" s="43">
        <f t="shared" si="20"/>
        <v>0</v>
      </c>
      <c r="AP30" s="90">
        <f>'Tabel Offset'!I31</f>
        <v>0</v>
      </c>
      <c r="AQ30" s="43">
        <f t="shared" si="21"/>
        <v>0</v>
      </c>
      <c r="AR30" s="30">
        <f>'Tabel Offset'!J31</f>
        <v>0</v>
      </c>
      <c r="AS30" s="40">
        <f t="shared" si="22"/>
        <v>0</v>
      </c>
      <c r="AT30" s="54">
        <f t="shared" si="23"/>
        <v>0</v>
      </c>
      <c r="AU30" s="57">
        <f t="shared" si="24"/>
        <v>0</v>
      </c>
      <c r="AV30" s="60">
        <f t="shared" si="25"/>
        <v>0</v>
      </c>
      <c r="AX30" s="45" t="str">
        <f>'Tabel Offset'!$A31</f>
        <v>FP</v>
      </c>
      <c r="AY30" s="48">
        <f>IF(AX30="AP",0,IF(AX30="FP",'Tabel Offset'!$AA$4,AX30/20*'Tabel Offset'!$AA$4))</f>
        <v>95.07</v>
      </c>
      <c r="AZ30" s="29">
        <f>'Tabel Offset'!J31</f>
        <v>0</v>
      </c>
      <c r="BA30" s="43">
        <f t="shared" si="26"/>
        <v>0</v>
      </c>
      <c r="BB30" s="30">
        <f>'Tabel Offset'!K31</f>
        <v>0</v>
      </c>
      <c r="BC30" s="43">
        <f t="shared" si="27"/>
        <v>0</v>
      </c>
      <c r="BD30" s="30">
        <f>'Tabel Offset'!L31</f>
        <v>0</v>
      </c>
      <c r="BE30" s="40">
        <f t="shared" si="28"/>
        <v>0</v>
      </c>
      <c r="BF30" s="54">
        <f t="shared" si="29"/>
        <v>0</v>
      </c>
      <c r="BG30" s="57">
        <f t="shared" si="30"/>
        <v>0</v>
      </c>
      <c r="BH30" s="60">
        <f t="shared" si="31"/>
        <v>0</v>
      </c>
      <c r="BJ30" s="45" t="str">
        <f>'Tabel Offset'!$A31</f>
        <v>FP</v>
      </c>
      <c r="BK30" s="48">
        <f>IF(BJ30="AP",0,IF(BJ30="FP",'Tabel Offset'!$AA$4,BJ30/20*'Tabel Offset'!$AA$4))</f>
        <v>95.07</v>
      </c>
      <c r="BL30" s="30">
        <f>'Tabel Offset'!L31</f>
        <v>0</v>
      </c>
      <c r="BM30" s="43">
        <f t="shared" si="32"/>
        <v>0</v>
      </c>
      <c r="BN30" s="30">
        <f>'Tabel Offset'!M31</f>
        <v>0</v>
      </c>
      <c r="BO30" s="43">
        <f t="shared" si="33"/>
        <v>0</v>
      </c>
      <c r="BP30" s="30">
        <f>'Tabel Offset'!N31</f>
        <v>0</v>
      </c>
      <c r="BQ30" s="40">
        <f t="shared" si="34"/>
        <v>0</v>
      </c>
      <c r="BR30" s="54">
        <f t="shared" si="35"/>
        <v>0</v>
      </c>
      <c r="BS30" s="57">
        <f t="shared" si="36"/>
        <v>0</v>
      </c>
      <c r="BT30" s="60">
        <f t="shared" si="37"/>
        <v>0</v>
      </c>
      <c r="BV30" s="45" t="str">
        <f>'Tabel Offset'!$A31</f>
        <v>FP</v>
      </c>
      <c r="BW30" s="48">
        <f>IF(BV30="AP",0,IF(BV30="FP",'Tabel Offset'!$AA$4,BV30/20*'Tabel Offset'!$AA$4))</f>
        <v>95.07</v>
      </c>
      <c r="BX30" s="30">
        <f>'Tabel Offset'!N31</f>
        <v>0</v>
      </c>
      <c r="BY30" s="43">
        <f t="shared" si="38"/>
        <v>0</v>
      </c>
      <c r="BZ30" s="30">
        <f>'Tabel Offset'!O31</f>
        <v>0</v>
      </c>
      <c r="CA30" s="43">
        <f t="shared" si="39"/>
        <v>0</v>
      </c>
      <c r="CB30" s="185">
        <f>'Tabel Offset'!P31</f>
        <v>0</v>
      </c>
      <c r="CC30" s="40">
        <f t="shared" si="40"/>
        <v>0</v>
      </c>
      <c r="CD30" s="54">
        <f t="shared" si="41"/>
        <v>0</v>
      </c>
      <c r="CE30" s="57">
        <f t="shared" si="42"/>
        <v>0</v>
      </c>
      <c r="CF30" s="60">
        <f t="shared" si="43"/>
        <v>0</v>
      </c>
      <c r="CH30" s="45" t="str">
        <f>'Tabel Offset'!$A31</f>
        <v>FP</v>
      </c>
      <c r="CI30" s="48">
        <f>IF(CH30="AP",0,IF(CH30="FP",'Tabel Offset'!$AA$4,CH30/20*'Tabel Offset'!$AA$4))</f>
        <v>95.07</v>
      </c>
      <c r="CJ30" s="31">
        <f>'Tabel Offset'!P31</f>
        <v>0</v>
      </c>
      <c r="CK30" s="43">
        <f t="shared" si="44"/>
        <v>0</v>
      </c>
      <c r="CL30" s="31">
        <f>'Tabel Offset'!Q31</f>
        <v>0</v>
      </c>
      <c r="CM30" s="43">
        <f t="shared" si="45"/>
        <v>0</v>
      </c>
      <c r="CN30" s="31">
        <f>'Tabel Offset'!R31</f>
        <v>0.16239999999999999</v>
      </c>
      <c r="CO30" s="40">
        <f t="shared" si="46"/>
        <v>0.16239999999999999</v>
      </c>
      <c r="CP30" s="54">
        <f t="shared" si="47"/>
        <v>0.16239999999999999</v>
      </c>
      <c r="CQ30" s="57">
        <f t="shared" si="48"/>
        <v>2.7066666666666662E-2</v>
      </c>
      <c r="CR30" s="60">
        <f t="shared" si="49"/>
        <v>2.7066666666666662E-2</v>
      </c>
      <c r="CT30" s="45" t="str">
        <f>'Tabel Offset'!$A31</f>
        <v>FP</v>
      </c>
      <c r="CU30" s="48">
        <f>IF(CT30="AP",0,IF(CT30="FP",'Tabel Offset'!$AA$4,CT30/20*'Tabel Offset'!$AA$4))</f>
        <v>95.07</v>
      </c>
      <c r="CV30" s="185">
        <f>'Tabel Offset'!R31</f>
        <v>0.16239999999999999</v>
      </c>
      <c r="CW30" s="43">
        <f t="shared" si="136"/>
        <v>0.16239999999999999</v>
      </c>
      <c r="CX30" s="185">
        <f>'Tabel Offset'!S31</f>
        <v>0.26740000000000003</v>
      </c>
      <c r="CY30" s="43">
        <f t="shared" si="137"/>
        <v>1.0696000000000001</v>
      </c>
      <c r="CZ30" s="185">
        <f>'Tabel Offset'!T31</f>
        <v>0.36959999999999998</v>
      </c>
      <c r="DA30" s="40">
        <f t="shared" si="138"/>
        <v>0.36959999999999998</v>
      </c>
      <c r="DB30" s="54">
        <f t="shared" si="139"/>
        <v>1.6016000000000001</v>
      </c>
      <c r="DC30" s="57">
        <f t="shared" si="140"/>
        <v>0.3737066666666668</v>
      </c>
      <c r="DD30" s="60">
        <f t="shared" si="141"/>
        <v>0.40077333333333348</v>
      </c>
      <c r="DF30" s="45" t="str">
        <f>'Tabel Offset'!$A31</f>
        <v>FP</v>
      </c>
      <c r="DG30" s="48">
        <f>IF(DF30="AP",0,IF(DF30="FP",'Tabel Offset'!$AA$4,DF30/20*'Tabel Offset'!$AA$4))</f>
        <v>95.07</v>
      </c>
      <c r="DH30" s="185">
        <f>'Tabel Offset'!T31</f>
        <v>0.36959999999999998</v>
      </c>
      <c r="DI30" s="43">
        <f t="shared" si="142"/>
        <v>0.36959999999999998</v>
      </c>
      <c r="DJ30" s="185">
        <f>'Tabel Offset'!U31</f>
        <v>0.47789999999999999</v>
      </c>
      <c r="DK30" s="43">
        <f t="shared" si="143"/>
        <v>1.9116</v>
      </c>
      <c r="DL30" s="185">
        <f>'Tabel Offset'!V31</f>
        <v>0.57899999999999996</v>
      </c>
      <c r="DM30" s="40">
        <f t="shared" si="144"/>
        <v>0.57899999999999996</v>
      </c>
      <c r="DN30" s="54">
        <f t="shared" si="145"/>
        <v>2.8601999999999999</v>
      </c>
      <c r="DO30" s="57">
        <f t="shared" si="146"/>
        <v>0.66738000000000008</v>
      </c>
      <c r="DP30" s="60">
        <f t="shared" si="128"/>
        <v>1.0681533333333335</v>
      </c>
      <c r="DR30" s="45" t="str">
        <f>'Tabel Offset'!$A31</f>
        <v>FP</v>
      </c>
      <c r="DS30" s="48">
        <f>IF(DR30="AP",0,IF(DR30="FP",'Tabel Offset'!$AA$4,DR30/20*'Tabel Offset'!$AA$4))</f>
        <v>95.07</v>
      </c>
      <c r="DT30" s="185">
        <f>'Tabel Offset'!V31</f>
        <v>0.57899999999999996</v>
      </c>
      <c r="DU30" s="43">
        <f t="shared" si="147"/>
        <v>0.57899999999999996</v>
      </c>
      <c r="DV30" s="75">
        <v>0.89810000000000001</v>
      </c>
      <c r="DW30" s="43">
        <f t="shared" si="130"/>
        <v>3.5924</v>
      </c>
      <c r="DX30" s="186">
        <f t="shared" si="131"/>
        <v>8.94435</v>
      </c>
      <c r="DY30" s="75">
        <v>1.7689999999999999</v>
      </c>
      <c r="DZ30" s="40">
        <f t="shared" si="0"/>
        <v>1.7689999999999999</v>
      </c>
      <c r="EA30" s="75">
        <v>9.9886999999999997</v>
      </c>
      <c r="EB30" s="54">
        <f t="shared" si="148"/>
        <v>5.9404000000000003</v>
      </c>
      <c r="EC30" s="57">
        <f t="shared" si="149"/>
        <v>4.1359044933333315</v>
      </c>
      <c r="ED30" s="60">
        <f t="shared" si="68"/>
        <v>5.2040578266666646</v>
      </c>
    </row>
    <row r="31" spans="1:134" ht="12.75" customHeight="1" x14ac:dyDescent="0.3">
      <c r="A31" s="23"/>
      <c r="K31" s="23"/>
    </row>
    <row r="32" spans="1:134" x14ac:dyDescent="0.3">
      <c r="A32" s="24"/>
      <c r="K32" s="23"/>
    </row>
    <row r="33" spans="1:11" x14ac:dyDescent="0.3">
      <c r="A33" s="23"/>
      <c r="K33" s="23"/>
    </row>
    <row r="37" spans="1:11" ht="12.75" customHeight="1" x14ac:dyDescent="0.3"/>
    <row r="38" spans="1:11" ht="12.75" customHeight="1" x14ac:dyDescent="0.3"/>
    <row r="62" ht="12.75" customHeight="1" x14ac:dyDescent="0.3"/>
    <row r="75" ht="12.75" customHeight="1" x14ac:dyDescent="0.3"/>
  </sheetData>
  <mergeCells count="60">
    <mergeCell ref="DR1:ED1"/>
    <mergeCell ref="AY2:AY5"/>
    <mergeCell ref="BT3:BT5"/>
    <mergeCell ref="BS3:BS5"/>
    <mergeCell ref="AI3:AI5"/>
    <mergeCell ref="AJ3:AJ5"/>
    <mergeCell ref="AM2:AM5"/>
    <mergeCell ref="BJ2:BJ5"/>
    <mergeCell ref="BK2:BK5"/>
    <mergeCell ref="BR3:BR5"/>
    <mergeCell ref="AL2:AL5"/>
    <mergeCell ref="BF3:BF5"/>
    <mergeCell ref="BG3:BG5"/>
    <mergeCell ref="BH3:BH5"/>
    <mergeCell ref="AT3:AT5"/>
    <mergeCell ref="AU3:AU5"/>
    <mergeCell ref="AV3:AV5"/>
    <mergeCell ref="AX2:AX5"/>
    <mergeCell ref="J3:J5"/>
    <mergeCell ref="K3:K5"/>
    <mergeCell ref="L3:L5"/>
    <mergeCell ref="AH3:AH5"/>
    <mergeCell ref="W3:W5"/>
    <mergeCell ref="X3:X5"/>
    <mergeCell ref="Z2:Z5"/>
    <mergeCell ref="AA2:AA5"/>
    <mergeCell ref="B2:B5"/>
    <mergeCell ref="C2:C5"/>
    <mergeCell ref="N2:N5"/>
    <mergeCell ref="V3:V5"/>
    <mergeCell ref="O2:O5"/>
    <mergeCell ref="DR2:DR5"/>
    <mergeCell ref="DS2:DS5"/>
    <mergeCell ref="EB3:EB5"/>
    <mergeCell ref="EC3:EC5"/>
    <mergeCell ref="ED3:ED5"/>
    <mergeCell ref="DY3:EA3"/>
    <mergeCell ref="DX4:DX5"/>
    <mergeCell ref="DV3:DX3"/>
    <mergeCell ref="EA4:EA5"/>
    <mergeCell ref="BV2:BV5"/>
    <mergeCell ref="BW2:BW5"/>
    <mergeCell ref="CD3:CD5"/>
    <mergeCell ref="CE3:CE5"/>
    <mergeCell ref="CF3:CF5"/>
    <mergeCell ref="CH2:CH5"/>
    <mergeCell ref="CI2:CI5"/>
    <mergeCell ref="CP3:CP5"/>
    <mergeCell ref="CQ3:CQ5"/>
    <mergeCell ref="CR3:CR5"/>
    <mergeCell ref="CT2:CT5"/>
    <mergeCell ref="CU2:CU5"/>
    <mergeCell ref="DB3:DB5"/>
    <mergeCell ref="DC3:DC5"/>
    <mergeCell ref="DD3:DD5"/>
    <mergeCell ref="DF2:DF5"/>
    <mergeCell ref="DG2:DG5"/>
    <mergeCell ref="DN3:DN5"/>
    <mergeCell ref="DO3:DO5"/>
    <mergeCell ref="DP3:DP5"/>
  </mergeCells>
  <pageMargins left="0.70866141732283472" right="0.70866141732283472" top="0.74803149606299213" bottom="0.74803149606299213" header="0.31496062992125984" footer="0.31496062992125984"/>
  <pageSetup paperSize="9" scale="59" fitToWidth="0" orientation="landscape" r:id="rId1"/>
  <rowBreaks count="1" manualBreakCount="1">
    <brk id="34" max="16383" man="1"/>
  </rowBreaks>
  <colBreaks count="2" manualBreakCount="2">
    <brk id="24" max="29" man="1"/>
    <brk id="48" max="29" man="1"/>
  </colBreaks>
  <ignoredErrors>
    <ignoredError sqref="F10:F30 BO10:BO30 BC10:BC30 AQ10:AQ30 AE10:AE30 AE7 AQ6:AQ8 BC6:BC8 BO6:BO8 F6:F8" formula="1"/>
  </ignoredError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B1:S62"/>
  <sheetViews>
    <sheetView topLeftCell="A37" zoomScale="85" zoomScaleNormal="85" workbookViewId="0">
      <selection activeCell="A11" sqref="A11:P62"/>
    </sheetView>
  </sheetViews>
  <sheetFormatPr defaultColWidth="9.109375" defaultRowHeight="14.4" x14ac:dyDescent="0.3"/>
  <cols>
    <col min="1" max="5" width="9.109375" style="68"/>
    <col min="6" max="6" width="17.6640625" style="68" bestFit="1" customWidth="1"/>
    <col min="7" max="16384" width="9.109375" style="68"/>
  </cols>
  <sheetData>
    <row r="1" spans="2:19" ht="15" thickBot="1" x14ac:dyDescent="0.35"/>
    <row r="2" spans="2:19" ht="15" customHeight="1" thickBot="1" x14ac:dyDescent="0.35">
      <c r="B2" s="263" t="s">
        <v>29</v>
      </c>
      <c r="C2" s="263" t="s">
        <v>31</v>
      </c>
      <c r="D2" s="129">
        <f>'Perhitungan Main Part'!BL2</f>
        <v>4</v>
      </c>
      <c r="E2" s="18" t="s">
        <v>23</v>
      </c>
      <c r="F2" s="20" t="s">
        <v>24</v>
      </c>
      <c r="G2" s="128">
        <f>'Perhitungan Main Part'!BO2</f>
        <v>5</v>
      </c>
      <c r="H2" s="128"/>
      <c r="I2" s="19" t="s">
        <v>23</v>
      </c>
      <c r="J2" s="27" t="s">
        <v>28</v>
      </c>
      <c r="K2" s="218"/>
      <c r="L2" s="127">
        <f>(G2-D2)/2</f>
        <v>0.5</v>
      </c>
      <c r="M2" s="28" t="s">
        <v>7</v>
      </c>
      <c r="N2" s="25"/>
    </row>
    <row r="3" spans="2:19" ht="15" customHeight="1" thickBot="1" x14ac:dyDescent="0.35">
      <c r="B3" s="284"/>
      <c r="C3" s="284"/>
      <c r="D3" s="126">
        <f>D2</f>
        <v>4</v>
      </c>
      <c r="E3" s="21" t="s">
        <v>23</v>
      </c>
      <c r="F3" s="126">
        <f>(G2-D2)/2+D2</f>
        <v>4.5</v>
      </c>
      <c r="G3" s="21" t="s">
        <v>23</v>
      </c>
      <c r="H3" s="210"/>
      <c r="I3" s="126">
        <f>G2</f>
        <v>5</v>
      </c>
      <c r="J3" s="100" t="s">
        <v>23</v>
      </c>
      <c r="K3" s="219"/>
      <c r="L3" s="275" t="s">
        <v>27</v>
      </c>
      <c r="M3" s="263" t="s">
        <v>30</v>
      </c>
      <c r="N3" s="263" t="s">
        <v>32</v>
      </c>
    </row>
    <row r="4" spans="2:19" ht="15" thickBot="1" x14ac:dyDescent="0.35">
      <c r="B4" s="284"/>
      <c r="C4" s="284"/>
      <c r="D4" s="27" t="s">
        <v>33</v>
      </c>
      <c r="E4" s="63">
        <v>1</v>
      </c>
      <c r="F4" s="64" t="s">
        <v>33</v>
      </c>
      <c r="G4" s="63">
        <v>4</v>
      </c>
      <c r="H4" s="18"/>
      <c r="I4" s="64" t="s">
        <v>33</v>
      </c>
      <c r="J4" s="63">
        <v>1</v>
      </c>
      <c r="K4" s="220"/>
      <c r="L4" s="276"/>
      <c r="M4" s="284"/>
      <c r="N4" s="284"/>
    </row>
    <row r="5" spans="2:19" ht="15" thickBot="1" x14ac:dyDescent="0.35">
      <c r="B5" s="280"/>
      <c r="C5" s="280"/>
      <c r="D5" s="33" t="s">
        <v>26</v>
      </c>
      <c r="E5" s="35" t="s">
        <v>25</v>
      </c>
      <c r="F5" s="33" t="s">
        <v>26</v>
      </c>
      <c r="G5" s="35" t="s">
        <v>25</v>
      </c>
      <c r="H5" s="209"/>
      <c r="I5" s="33" t="s">
        <v>26</v>
      </c>
      <c r="J5" s="35" t="s">
        <v>25</v>
      </c>
      <c r="K5" s="221"/>
      <c r="L5" s="285"/>
      <c r="M5" s="280"/>
      <c r="N5" s="280"/>
    </row>
    <row r="6" spans="2:19" ht="15" thickBot="1" x14ac:dyDescent="0.35">
      <c r="B6" s="101" t="s">
        <v>9</v>
      </c>
      <c r="C6" s="105">
        <f>-'Tabel Offset'!Y5*2</f>
        <v>-3.8000000000000114</v>
      </c>
      <c r="D6" s="121">
        <f>'Tabel Offset'!L5</f>
        <v>0</v>
      </c>
      <c r="E6" s="46">
        <f>D6*E$31</f>
        <v>0</v>
      </c>
      <c r="F6" s="123">
        <f>'Tabel Offset'!M5</f>
        <v>0</v>
      </c>
      <c r="G6" s="46">
        <f>F6*G$31</f>
        <v>0</v>
      </c>
      <c r="H6" s="41"/>
      <c r="I6" s="123">
        <f>'Tabel Offset'!N5</f>
        <v>0</v>
      </c>
      <c r="J6" s="46">
        <f>I6*J$31</f>
        <v>0</v>
      </c>
      <c r="K6" s="41"/>
      <c r="L6" s="52">
        <f>SUM(E6,G6,J6)</f>
        <v>0</v>
      </c>
      <c r="M6" s="107">
        <f>2*1/3*L$2*L6</f>
        <v>0</v>
      </c>
      <c r="N6" s="61">
        <f>M6</f>
        <v>0</v>
      </c>
      <c r="S6" s="206">
        <f>N6*0.5</f>
        <v>0</v>
      </c>
    </row>
    <row r="7" spans="2:19" ht="15" thickBot="1" x14ac:dyDescent="0.35">
      <c r="B7" s="102" t="s">
        <v>30</v>
      </c>
      <c r="C7" s="106">
        <f>-'Tabel Offset'!Y7</f>
        <v>-1.9000000000000057</v>
      </c>
      <c r="D7" s="121">
        <f>'Tabel Offset'!L6</f>
        <v>0</v>
      </c>
      <c r="E7" s="47">
        <f t="shared" ref="E7:E8" si="0">D7*E$31</f>
        <v>0</v>
      </c>
      <c r="F7" s="123">
        <f>'Tabel Offset'!M6</f>
        <v>0</v>
      </c>
      <c r="G7" s="47">
        <f>F7*G$31</f>
        <v>0</v>
      </c>
      <c r="H7" s="76"/>
      <c r="I7" s="123">
        <f>'Tabel Offset'!N6</f>
        <v>0</v>
      </c>
      <c r="J7" s="47">
        <f>I7*J$31</f>
        <v>0</v>
      </c>
      <c r="K7" s="42"/>
      <c r="L7" s="53">
        <f>SUM(E7,G7,J7)</f>
        <v>0</v>
      </c>
      <c r="M7" s="108">
        <f>2*1/3*L$2*L7</f>
        <v>0</v>
      </c>
      <c r="N7" s="58">
        <f t="shared" ref="N7:N8" si="1">M7</f>
        <v>0</v>
      </c>
      <c r="S7" s="206">
        <f>N7*0.5</f>
        <v>0</v>
      </c>
    </row>
    <row r="8" spans="2:19" ht="15" thickBot="1" x14ac:dyDescent="0.35">
      <c r="B8" s="103" t="s">
        <v>14</v>
      </c>
      <c r="C8" s="104">
        <v>0</v>
      </c>
      <c r="D8" s="121">
        <f>'Tabel Offset'!L7</f>
        <v>0</v>
      </c>
      <c r="E8" s="48">
        <f t="shared" si="0"/>
        <v>0</v>
      </c>
      <c r="F8" s="123">
        <f>'Tabel Offset'!M7</f>
        <v>0</v>
      </c>
      <c r="G8" s="48">
        <f>F8*G$31</f>
        <v>0</v>
      </c>
      <c r="H8" s="211"/>
      <c r="I8" s="123">
        <f>'Tabel Offset'!N7</f>
        <v>0</v>
      </c>
      <c r="J8" s="48">
        <f>I8*J$31</f>
        <v>0</v>
      </c>
      <c r="K8" s="43"/>
      <c r="L8" s="54">
        <f>SUM(E8,G8,J8)</f>
        <v>0</v>
      </c>
      <c r="M8" s="109">
        <f>2*1/3*L$2*L8</f>
        <v>0</v>
      </c>
      <c r="N8" s="62">
        <f t="shared" si="1"/>
        <v>0</v>
      </c>
      <c r="S8" s="206">
        <f>N8*0.5</f>
        <v>0</v>
      </c>
    </row>
    <row r="10" spans="2:19" ht="15" thickBot="1" x14ac:dyDescent="0.35"/>
    <row r="11" spans="2:19" ht="15" customHeight="1" thickBot="1" x14ac:dyDescent="0.35">
      <c r="B11" s="263" t="s">
        <v>29</v>
      </c>
      <c r="C11" s="263" t="s">
        <v>31</v>
      </c>
      <c r="D11" s="129">
        <f>'Perhitungan Main Part'!BX2</f>
        <v>5</v>
      </c>
      <c r="E11" s="18" t="s">
        <v>23</v>
      </c>
      <c r="F11" s="20" t="s">
        <v>24</v>
      </c>
      <c r="G11" s="128">
        <f>'Perhitungan Main Part'!CA2</f>
        <v>6</v>
      </c>
      <c r="H11" s="128"/>
      <c r="I11" s="19" t="s">
        <v>23</v>
      </c>
      <c r="J11" s="27" t="s">
        <v>28</v>
      </c>
      <c r="K11" s="218"/>
      <c r="L11" s="127">
        <f>(G11-D11)/2</f>
        <v>0.5</v>
      </c>
      <c r="M11" s="28" t="s">
        <v>7</v>
      </c>
      <c r="N11" s="25"/>
    </row>
    <row r="12" spans="2:19" ht="15" customHeight="1" thickBot="1" x14ac:dyDescent="0.35">
      <c r="B12" s="284"/>
      <c r="C12" s="284"/>
      <c r="D12" s="126">
        <f>D11</f>
        <v>5</v>
      </c>
      <c r="E12" s="21" t="s">
        <v>23</v>
      </c>
      <c r="F12" s="126">
        <f>(G11-D11)/2+D11</f>
        <v>5.5</v>
      </c>
      <c r="G12" s="21" t="s">
        <v>23</v>
      </c>
      <c r="H12" s="210"/>
      <c r="I12" s="126">
        <f>G11</f>
        <v>6</v>
      </c>
      <c r="J12" s="100" t="s">
        <v>23</v>
      </c>
      <c r="K12" s="219"/>
      <c r="L12" s="275" t="s">
        <v>27</v>
      </c>
      <c r="M12" s="263" t="s">
        <v>30</v>
      </c>
      <c r="N12" s="263" t="s">
        <v>32</v>
      </c>
    </row>
    <row r="13" spans="2:19" ht="15" thickBot="1" x14ac:dyDescent="0.35">
      <c r="B13" s="284"/>
      <c r="C13" s="284"/>
      <c r="D13" s="27" t="s">
        <v>33</v>
      </c>
      <c r="E13" s="63">
        <v>1</v>
      </c>
      <c r="F13" s="64" t="s">
        <v>33</v>
      </c>
      <c r="G13" s="63">
        <v>4</v>
      </c>
      <c r="H13" s="18"/>
      <c r="I13" s="64" t="s">
        <v>33</v>
      </c>
      <c r="J13" s="63">
        <v>1</v>
      </c>
      <c r="K13" s="220"/>
      <c r="L13" s="276"/>
      <c r="M13" s="284"/>
      <c r="N13" s="284"/>
    </row>
    <row r="14" spans="2:19" ht="15" thickBot="1" x14ac:dyDescent="0.35">
      <c r="B14" s="280"/>
      <c r="C14" s="280"/>
      <c r="D14" s="33" t="s">
        <v>26</v>
      </c>
      <c r="E14" s="35" t="s">
        <v>25</v>
      </c>
      <c r="F14" s="33" t="s">
        <v>26</v>
      </c>
      <c r="G14" s="35" t="s">
        <v>25</v>
      </c>
      <c r="H14" s="209"/>
      <c r="I14" s="33" t="s">
        <v>26</v>
      </c>
      <c r="J14" s="35" t="s">
        <v>25</v>
      </c>
      <c r="K14" s="221"/>
      <c r="L14" s="285"/>
      <c r="M14" s="280"/>
      <c r="N14" s="280"/>
    </row>
    <row r="15" spans="2:19" ht="15" thickBot="1" x14ac:dyDescent="0.35">
      <c r="B15" s="101" t="s">
        <v>9</v>
      </c>
      <c r="C15" s="105">
        <f>-'Tabel Offset'!Y5*2</f>
        <v>-3.8000000000000114</v>
      </c>
      <c r="D15" s="121">
        <f>'Tabel Offset'!N5</f>
        <v>0</v>
      </c>
      <c r="E15" s="46">
        <f>D15*E$31</f>
        <v>0</v>
      </c>
      <c r="F15" s="123">
        <f>'Tabel Offset'!O5</f>
        <v>0</v>
      </c>
      <c r="G15" s="46">
        <f>F15*G$31</f>
        <v>0</v>
      </c>
      <c r="H15" s="41"/>
      <c r="I15" s="123">
        <f>'Tabel Offset'!P5</f>
        <v>0</v>
      </c>
      <c r="J15" s="46">
        <f>I15*J$31</f>
        <v>0</v>
      </c>
      <c r="K15" s="41"/>
      <c r="L15" s="52">
        <f>SUM(E15,G15,J15)</f>
        <v>0</v>
      </c>
      <c r="M15" s="107">
        <f>2*1/3*L$11*L15</f>
        <v>0</v>
      </c>
      <c r="N15" s="61">
        <f>M15+N6</f>
        <v>0</v>
      </c>
      <c r="S15" s="206">
        <f>N15*0.5</f>
        <v>0</v>
      </c>
    </row>
    <row r="16" spans="2:19" ht="15" thickBot="1" x14ac:dyDescent="0.35">
      <c r="B16" s="102" t="s">
        <v>30</v>
      </c>
      <c r="C16" s="106">
        <f>-'Tabel Offset'!Y7</f>
        <v>-1.9000000000000057</v>
      </c>
      <c r="D16" s="121">
        <f>'Tabel Offset'!N6</f>
        <v>0</v>
      </c>
      <c r="E16" s="47">
        <f t="shared" ref="E16:E17" si="2">D16*E$31</f>
        <v>0</v>
      </c>
      <c r="F16" s="123">
        <f>'Tabel Offset'!O6</f>
        <v>0</v>
      </c>
      <c r="G16" s="47">
        <f>F16*G$31</f>
        <v>0</v>
      </c>
      <c r="H16" s="76"/>
      <c r="I16" s="123">
        <f>'Tabel Offset'!P6</f>
        <v>0.53749999999999998</v>
      </c>
      <c r="J16" s="47">
        <f>I16*J$31</f>
        <v>0.53749999999999998</v>
      </c>
      <c r="K16" s="42"/>
      <c r="L16" s="53">
        <f>SUM(E16,G16,J16)</f>
        <v>0.53749999999999998</v>
      </c>
      <c r="M16" s="108">
        <f>2*1/3*L$11*L16</f>
        <v>0.17916666666666664</v>
      </c>
      <c r="N16" s="61">
        <f t="shared" ref="N16:N17" si="3">M16+N7</f>
        <v>0.17916666666666664</v>
      </c>
      <c r="S16" s="206">
        <f>N16*0.5</f>
        <v>8.958333333333332E-2</v>
      </c>
    </row>
    <row r="17" spans="2:19" ht="15" thickBot="1" x14ac:dyDescent="0.35">
      <c r="B17" s="103" t="s">
        <v>14</v>
      </c>
      <c r="C17" s="104">
        <v>0</v>
      </c>
      <c r="D17" s="121">
        <f>'Tabel Offset'!N7</f>
        <v>0</v>
      </c>
      <c r="E17" s="48">
        <f t="shared" si="2"/>
        <v>0</v>
      </c>
      <c r="F17" s="123">
        <f>'Tabel Offset'!O7</f>
        <v>0.66059999999999997</v>
      </c>
      <c r="G17" s="48">
        <f>F17*G$31</f>
        <v>2.6423999999999999</v>
      </c>
      <c r="H17" s="211"/>
      <c r="I17" s="123">
        <f>'Tabel Offset'!P7</f>
        <v>1.6519999999999999</v>
      </c>
      <c r="J17" s="48">
        <f>I17*J$31</f>
        <v>1.6519999999999999</v>
      </c>
      <c r="K17" s="43"/>
      <c r="L17" s="54">
        <f>SUM(E17,G17,J17)</f>
        <v>4.2943999999999996</v>
      </c>
      <c r="M17" s="109">
        <f>2*1/3*L$11*L17</f>
        <v>1.4314666666666664</v>
      </c>
      <c r="N17" s="61">
        <f t="shared" si="3"/>
        <v>1.4314666666666664</v>
      </c>
      <c r="S17" s="206">
        <f>N17*0.5</f>
        <v>0.71573333333333322</v>
      </c>
    </row>
    <row r="19" spans="2:19" ht="15" thickBot="1" x14ac:dyDescent="0.35"/>
    <row r="20" spans="2:19" ht="15" customHeight="1" thickBot="1" x14ac:dyDescent="0.35">
      <c r="B20" s="246" t="s">
        <v>29</v>
      </c>
      <c r="C20" s="249" t="s">
        <v>31</v>
      </c>
      <c r="D20" s="129">
        <f>'Perhitungan Main Part'!CJ2</f>
        <v>6</v>
      </c>
      <c r="E20" s="18" t="s">
        <v>23</v>
      </c>
      <c r="F20" s="20" t="s">
        <v>24</v>
      </c>
      <c r="G20" s="128">
        <f>'Perhitungan Main Part'!CM2</f>
        <v>6.5</v>
      </c>
      <c r="H20" s="128"/>
      <c r="I20" s="19" t="s">
        <v>23</v>
      </c>
      <c r="J20" s="27" t="s">
        <v>28</v>
      </c>
      <c r="K20" s="218"/>
      <c r="L20" s="127">
        <f>(G20-D20)/2</f>
        <v>0.25</v>
      </c>
      <c r="M20" s="28" t="s">
        <v>7</v>
      </c>
      <c r="N20" s="25"/>
    </row>
    <row r="21" spans="2:19" ht="15" customHeight="1" thickBot="1" x14ac:dyDescent="0.35">
      <c r="B21" s="247"/>
      <c r="C21" s="250"/>
      <c r="D21" s="126">
        <f>D20</f>
        <v>6</v>
      </c>
      <c r="E21" s="21" t="s">
        <v>23</v>
      </c>
      <c r="F21" s="126">
        <f>(G20-D20)/2+D20</f>
        <v>6.25</v>
      </c>
      <c r="G21" s="21" t="s">
        <v>23</v>
      </c>
      <c r="H21" s="210"/>
      <c r="I21" s="126">
        <f>G20</f>
        <v>6.5</v>
      </c>
      <c r="J21" s="100" t="s">
        <v>23</v>
      </c>
      <c r="K21" s="219"/>
      <c r="L21" s="253" t="s">
        <v>27</v>
      </c>
      <c r="M21" s="270" t="s">
        <v>30</v>
      </c>
      <c r="N21" s="249" t="s">
        <v>32</v>
      </c>
    </row>
    <row r="22" spans="2:19" ht="15" thickBot="1" x14ac:dyDescent="0.35">
      <c r="B22" s="247"/>
      <c r="C22" s="250"/>
      <c r="D22" s="27" t="s">
        <v>33</v>
      </c>
      <c r="E22" s="63">
        <v>1</v>
      </c>
      <c r="F22" s="64" t="s">
        <v>33</v>
      </c>
      <c r="G22" s="63">
        <v>4</v>
      </c>
      <c r="H22" s="18"/>
      <c r="I22" s="64" t="s">
        <v>33</v>
      </c>
      <c r="J22" s="63">
        <v>1</v>
      </c>
      <c r="K22" s="220"/>
      <c r="L22" s="250"/>
      <c r="M22" s="269"/>
      <c r="N22" s="250"/>
    </row>
    <row r="23" spans="2:19" ht="15" thickBot="1" x14ac:dyDescent="0.35">
      <c r="B23" s="248"/>
      <c r="C23" s="251"/>
      <c r="D23" s="33" t="s">
        <v>26</v>
      </c>
      <c r="E23" s="35" t="s">
        <v>25</v>
      </c>
      <c r="F23" s="33" t="s">
        <v>26</v>
      </c>
      <c r="G23" s="35" t="s">
        <v>25</v>
      </c>
      <c r="H23" s="209"/>
      <c r="I23" s="33" t="s">
        <v>26</v>
      </c>
      <c r="J23" s="35" t="s">
        <v>25</v>
      </c>
      <c r="K23" s="221"/>
      <c r="L23" s="251"/>
      <c r="M23" s="271"/>
      <c r="N23" s="254"/>
    </row>
    <row r="24" spans="2:19" ht="15" thickBot="1" x14ac:dyDescent="0.35">
      <c r="B24" s="101" t="s">
        <v>9</v>
      </c>
      <c r="C24" s="105">
        <f>C15</f>
        <v>-3.8000000000000114</v>
      </c>
      <c r="D24" s="121">
        <f>'Tabel Offset'!P5</f>
        <v>0</v>
      </c>
      <c r="E24" s="46">
        <f>D24*E$31</f>
        <v>0</v>
      </c>
      <c r="F24" s="123">
        <f>'Tabel Offset'!Q5</f>
        <v>0</v>
      </c>
      <c r="G24" s="46">
        <f>F24*G$31</f>
        <v>0</v>
      </c>
      <c r="H24" s="41"/>
      <c r="I24" s="123">
        <f>'Tabel Offset'!R5</f>
        <v>0.55049999999999999</v>
      </c>
      <c r="J24" s="46">
        <f>I24*J$31</f>
        <v>0.55049999999999999</v>
      </c>
      <c r="K24" s="41"/>
      <c r="L24" s="52">
        <f>SUM(E24,G24,J24)</f>
        <v>0.55049999999999999</v>
      </c>
      <c r="M24" s="107">
        <f>2*1/3*L$20*L24</f>
        <v>9.1749999999999998E-2</v>
      </c>
      <c r="N24" s="61">
        <f>M24+N15</f>
        <v>9.1749999999999998E-2</v>
      </c>
      <c r="S24" s="206">
        <f>N24*0.5</f>
        <v>4.5874999999999999E-2</v>
      </c>
    </row>
    <row r="25" spans="2:19" ht="15" thickBot="1" x14ac:dyDescent="0.35">
      <c r="B25" s="102" t="s">
        <v>30</v>
      </c>
      <c r="C25" s="106">
        <f>C16</f>
        <v>-1.9000000000000057</v>
      </c>
      <c r="D25" s="121">
        <f>'Tabel Offset'!P6</f>
        <v>0.53749999999999998</v>
      </c>
      <c r="E25" s="47">
        <f t="shared" ref="E25:E26" si="4">D25*E$31</f>
        <v>0.53749999999999998</v>
      </c>
      <c r="F25" s="123">
        <f>'Tabel Offset'!Q6</f>
        <v>1.083</v>
      </c>
      <c r="G25" s="47">
        <f>F25*G$31</f>
        <v>4.3319999999999999</v>
      </c>
      <c r="H25" s="76"/>
      <c r="I25" s="123">
        <f>'Tabel Offset'!R6</f>
        <v>1.5934999999999999</v>
      </c>
      <c r="J25" s="47">
        <f>I25*J$31</f>
        <v>1.5934999999999999</v>
      </c>
      <c r="K25" s="42"/>
      <c r="L25" s="53">
        <f>SUM(E25,G25,J25)</f>
        <v>6.4629999999999992</v>
      </c>
      <c r="M25" s="108">
        <f>2*1/3*L$20*L25</f>
        <v>1.0771666666666664</v>
      </c>
      <c r="N25" s="61">
        <f t="shared" ref="N25:N26" si="5">M25+N16</f>
        <v>1.2563333333333331</v>
      </c>
      <c r="S25" s="206">
        <f>N25*0.5</f>
        <v>0.62816666666666654</v>
      </c>
    </row>
    <row r="26" spans="2:19" ht="15" thickBot="1" x14ac:dyDescent="0.35">
      <c r="B26" s="103" t="s">
        <v>14</v>
      </c>
      <c r="C26" s="104">
        <v>0</v>
      </c>
      <c r="D26" s="121">
        <f>'Tabel Offset'!P7</f>
        <v>1.6519999999999999</v>
      </c>
      <c r="E26" s="48">
        <f t="shared" si="4"/>
        <v>1.6519999999999999</v>
      </c>
      <c r="F26" s="123">
        <f>'Tabel Offset'!Q7</f>
        <v>2.0552000000000001</v>
      </c>
      <c r="G26" s="48">
        <f>F26*G$31</f>
        <v>8.2208000000000006</v>
      </c>
      <c r="H26" s="211"/>
      <c r="I26" s="123">
        <f>'Tabel Offset'!R7</f>
        <v>2.4420000000000002</v>
      </c>
      <c r="J26" s="48">
        <f>I26*J$31</f>
        <v>2.4420000000000002</v>
      </c>
      <c r="K26" s="43"/>
      <c r="L26" s="54">
        <f>SUM(E26,G26,J26)</f>
        <v>12.3148</v>
      </c>
      <c r="M26" s="109">
        <f>2*1/3*L$20*L26</f>
        <v>2.0524666666666667</v>
      </c>
      <c r="N26" s="61">
        <f t="shared" si="5"/>
        <v>3.4839333333333329</v>
      </c>
      <c r="S26" s="206">
        <f>N26*0.5</f>
        <v>1.7419666666666664</v>
      </c>
    </row>
    <row r="28" spans="2:19" ht="15" customHeight="1" thickBot="1" x14ac:dyDescent="0.35"/>
    <row r="29" spans="2:19" ht="15" customHeight="1" thickBot="1" x14ac:dyDescent="0.35">
      <c r="B29" s="246" t="s">
        <v>29</v>
      </c>
      <c r="C29" s="249" t="s">
        <v>31</v>
      </c>
      <c r="D29" s="129">
        <f>'Perhitungan Main Part'!CV2</f>
        <v>6.5</v>
      </c>
      <c r="E29" s="18" t="s">
        <v>23</v>
      </c>
      <c r="F29" s="20" t="s">
        <v>24</v>
      </c>
      <c r="G29" s="128">
        <f>'Perhitungan Main Part'!CY2</f>
        <v>7.2</v>
      </c>
      <c r="H29" s="128"/>
      <c r="I29" s="19" t="s">
        <v>23</v>
      </c>
      <c r="J29" s="27" t="s">
        <v>28</v>
      </c>
      <c r="K29" s="218"/>
      <c r="L29" s="127">
        <f>(G29-D29)/2</f>
        <v>0.35000000000000009</v>
      </c>
      <c r="M29" s="28" t="s">
        <v>7</v>
      </c>
      <c r="N29" s="25"/>
    </row>
    <row r="30" spans="2:19" ht="15" customHeight="1" thickBot="1" x14ac:dyDescent="0.35">
      <c r="B30" s="247"/>
      <c r="C30" s="250"/>
      <c r="D30" s="126">
        <f>D29</f>
        <v>6.5</v>
      </c>
      <c r="E30" s="21" t="s">
        <v>23</v>
      </c>
      <c r="F30" s="126">
        <f>(G29-D29)/2+D29</f>
        <v>6.85</v>
      </c>
      <c r="G30" s="21" t="s">
        <v>23</v>
      </c>
      <c r="H30" s="210"/>
      <c r="I30" s="126">
        <f>G29</f>
        <v>7.2</v>
      </c>
      <c r="J30" s="100" t="s">
        <v>23</v>
      </c>
      <c r="K30" s="219"/>
      <c r="L30" s="253" t="s">
        <v>27</v>
      </c>
      <c r="M30" s="270" t="s">
        <v>30</v>
      </c>
      <c r="N30" s="249" t="s">
        <v>32</v>
      </c>
    </row>
    <row r="31" spans="2:19" ht="15" thickBot="1" x14ac:dyDescent="0.35">
      <c r="B31" s="247"/>
      <c r="C31" s="250"/>
      <c r="D31" s="27" t="s">
        <v>33</v>
      </c>
      <c r="E31" s="63">
        <v>1</v>
      </c>
      <c r="F31" s="64" t="s">
        <v>33</v>
      </c>
      <c r="G31" s="63">
        <v>4</v>
      </c>
      <c r="H31" s="18"/>
      <c r="I31" s="64" t="s">
        <v>33</v>
      </c>
      <c r="J31" s="63">
        <v>1</v>
      </c>
      <c r="K31" s="220"/>
      <c r="L31" s="250"/>
      <c r="M31" s="269"/>
      <c r="N31" s="250"/>
    </row>
    <row r="32" spans="2:19" ht="15" thickBot="1" x14ac:dyDescent="0.35">
      <c r="B32" s="248"/>
      <c r="C32" s="251"/>
      <c r="D32" s="33" t="s">
        <v>26</v>
      </c>
      <c r="E32" s="35" t="s">
        <v>25</v>
      </c>
      <c r="F32" s="33" t="s">
        <v>26</v>
      </c>
      <c r="G32" s="35" t="s">
        <v>25</v>
      </c>
      <c r="H32" s="209"/>
      <c r="I32" s="33" t="s">
        <v>26</v>
      </c>
      <c r="J32" s="35" t="s">
        <v>25</v>
      </c>
      <c r="K32" s="221"/>
      <c r="L32" s="251"/>
      <c r="M32" s="271"/>
      <c r="N32" s="254"/>
    </row>
    <row r="33" spans="2:15" ht="15" thickBot="1" x14ac:dyDescent="0.35">
      <c r="B33" s="101" t="s">
        <v>9</v>
      </c>
      <c r="C33" s="105">
        <f>C15</f>
        <v>-3.8000000000000114</v>
      </c>
      <c r="D33" s="121">
        <f>'Tabel Offset'!R5</f>
        <v>0.55049999999999999</v>
      </c>
      <c r="E33" s="46">
        <f>D33*E$31</f>
        <v>0.55049999999999999</v>
      </c>
      <c r="F33" s="123">
        <f>'Tabel Offset'!S5</f>
        <v>1.3980999999999999</v>
      </c>
      <c r="G33" s="46">
        <f>F33*G$31</f>
        <v>5.5923999999999996</v>
      </c>
      <c r="H33" s="41"/>
      <c r="I33" s="123">
        <f>'Tabel Offset'!T5</f>
        <v>2.0299999999999998</v>
      </c>
      <c r="J33" s="46">
        <f>I33*J$31</f>
        <v>2.0299999999999998</v>
      </c>
      <c r="K33" s="41"/>
      <c r="L33" s="52">
        <f>SUM(E33,G33,J33)</f>
        <v>8.1728999999999985</v>
      </c>
      <c r="M33" s="107">
        <f>2*1/3*L$29*L33</f>
        <v>1.9070100000000001</v>
      </c>
      <c r="N33" s="61">
        <f>M33+N24</f>
        <v>1.9987600000000001</v>
      </c>
    </row>
    <row r="34" spans="2:15" ht="15" thickBot="1" x14ac:dyDescent="0.35">
      <c r="B34" s="102" t="s">
        <v>30</v>
      </c>
      <c r="C34" s="106">
        <f>C16</f>
        <v>-1.9000000000000057</v>
      </c>
      <c r="D34" s="121">
        <f>'Tabel Offset'!R6</f>
        <v>1.5934999999999999</v>
      </c>
      <c r="E34" s="47">
        <f t="shared" ref="E34:E35" si="6">D34*E$31</f>
        <v>1.5934999999999999</v>
      </c>
      <c r="F34" s="123">
        <f>'Tabel Offset'!S6</f>
        <v>2.21</v>
      </c>
      <c r="G34" s="47">
        <f>F34*G$31</f>
        <v>8.84</v>
      </c>
      <c r="H34" s="76"/>
      <c r="I34" s="123">
        <f>'Tabel Offset'!T6</f>
        <v>2.7515999999999998</v>
      </c>
      <c r="J34" s="47">
        <f>I34*J$31</f>
        <v>2.7515999999999998</v>
      </c>
      <c r="K34" s="42"/>
      <c r="L34" s="53">
        <f>SUM(E34,G34,J34)</f>
        <v>13.1851</v>
      </c>
      <c r="M34" s="108">
        <f t="shared" ref="M34:M35" si="7">2*1/3*L$29*L34</f>
        <v>3.0765233333333342</v>
      </c>
      <c r="N34" s="61">
        <f t="shared" ref="N34:N35" si="8">M34+N25</f>
        <v>4.3328566666666672</v>
      </c>
    </row>
    <row r="35" spans="2:15" ht="15" thickBot="1" x14ac:dyDescent="0.35">
      <c r="B35" s="103" t="s">
        <v>14</v>
      </c>
      <c r="C35" s="104">
        <v>0</v>
      </c>
      <c r="D35" s="121">
        <f>'Tabel Offset'!R7</f>
        <v>2.4420000000000002</v>
      </c>
      <c r="E35" s="48">
        <f t="shared" si="6"/>
        <v>2.4420000000000002</v>
      </c>
      <c r="F35" s="123">
        <f>'Tabel Offset'!S7</f>
        <v>2.9634999999999998</v>
      </c>
      <c r="G35" s="48">
        <f>F35*G$31</f>
        <v>11.853999999999999</v>
      </c>
      <c r="H35" s="211"/>
      <c r="I35" s="123">
        <f>'Tabel Offset'!T7</f>
        <v>3.4636999999999998</v>
      </c>
      <c r="J35" s="48">
        <f>I35*J$31</f>
        <v>3.4636999999999998</v>
      </c>
      <c r="K35" s="43"/>
      <c r="L35" s="54">
        <f>SUM(E35,G35,J35)</f>
        <v>17.759699999999999</v>
      </c>
      <c r="M35" s="109">
        <f t="shared" si="7"/>
        <v>4.143930000000001</v>
      </c>
      <c r="N35" s="61">
        <f t="shared" si="8"/>
        <v>7.6278633333333339</v>
      </c>
    </row>
    <row r="37" spans="2:15" ht="15" thickBot="1" x14ac:dyDescent="0.35"/>
    <row r="38" spans="2:15" ht="15" thickBot="1" x14ac:dyDescent="0.35">
      <c r="B38" s="246" t="s">
        <v>29</v>
      </c>
      <c r="C38" s="249" t="s">
        <v>31</v>
      </c>
      <c r="D38" s="129">
        <f>G29</f>
        <v>7.2</v>
      </c>
      <c r="E38" s="18" t="s">
        <v>23</v>
      </c>
      <c r="F38" s="20" t="s">
        <v>24</v>
      </c>
      <c r="G38" s="128">
        <f>'Perhitungan Main Part'!DK2</f>
        <v>7.9</v>
      </c>
      <c r="H38" s="128"/>
      <c r="I38" s="19" t="s">
        <v>23</v>
      </c>
      <c r="J38" s="27" t="s">
        <v>28</v>
      </c>
      <c r="K38" s="218"/>
      <c r="L38" s="127">
        <f>(G38-D38)/2</f>
        <v>0.35000000000000009</v>
      </c>
      <c r="M38" s="28" t="s">
        <v>7</v>
      </c>
      <c r="N38" s="25"/>
    </row>
    <row r="39" spans="2:15" ht="15" thickBot="1" x14ac:dyDescent="0.35">
      <c r="B39" s="247"/>
      <c r="C39" s="250"/>
      <c r="D39" s="126">
        <f>D38</f>
        <v>7.2</v>
      </c>
      <c r="E39" s="21" t="s">
        <v>23</v>
      </c>
      <c r="F39" s="126">
        <f>(G38-D38)/2+D38</f>
        <v>7.5500000000000007</v>
      </c>
      <c r="G39" s="21" t="s">
        <v>23</v>
      </c>
      <c r="H39" s="210"/>
      <c r="I39" s="126">
        <f>G38</f>
        <v>7.9</v>
      </c>
      <c r="J39" s="100" t="s">
        <v>23</v>
      </c>
      <c r="K39" s="219"/>
      <c r="L39" s="253" t="s">
        <v>27</v>
      </c>
      <c r="M39" s="270" t="s">
        <v>30</v>
      </c>
      <c r="N39" s="249" t="s">
        <v>32</v>
      </c>
    </row>
    <row r="40" spans="2:15" ht="15" thickBot="1" x14ac:dyDescent="0.35">
      <c r="B40" s="247"/>
      <c r="C40" s="250"/>
      <c r="D40" s="27" t="s">
        <v>33</v>
      </c>
      <c r="E40" s="63">
        <v>1</v>
      </c>
      <c r="F40" s="64" t="s">
        <v>33</v>
      </c>
      <c r="G40" s="63">
        <v>4</v>
      </c>
      <c r="H40" s="18"/>
      <c r="I40" s="64" t="s">
        <v>33</v>
      </c>
      <c r="J40" s="63">
        <v>1</v>
      </c>
      <c r="K40" s="220"/>
      <c r="L40" s="250"/>
      <c r="M40" s="269"/>
      <c r="N40" s="250"/>
    </row>
    <row r="41" spans="2:15" ht="15" thickBot="1" x14ac:dyDescent="0.35">
      <c r="B41" s="248"/>
      <c r="C41" s="251"/>
      <c r="D41" s="33" t="s">
        <v>26</v>
      </c>
      <c r="E41" s="35" t="s">
        <v>25</v>
      </c>
      <c r="F41" s="33" t="s">
        <v>26</v>
      </c>
      <c r="G41" s="35" t="s">
        <v>25</v>
      </c>
      <c r="H41" s="209"/>
      <c r="I41" s="33" t="s">
        <v>26</v>
      </c>
      <c r="J41" s="35" t="s">
        <v>25</v>
      </c>
      <c r="K41" s="221"/>
      <c r="L41" s="251"/>
      <c r="M41" s="271"/>
      <c r="N41" s="251"/>
    </row>
    <row r="42" spans="2:15" ht="15" thickBot="1" x14ac:dyDescent="0.35">
      <c r="B42" s="101" t="s">
        <v>9</v>
      </c>
      <c r="C42" s="105">
        <f>C33</f>
        <v>-3.8000000000000114</v>
      </c>
      <c r="D42" s="120">
        <f>I33</f>
        <v>2.0299999999999998</v>
      </c>
      <c r="E42" s="46">
        <f>D42*E$31</f>
        <v>2.0299999999999998</v>
      </c>
      <c r="F42" s="123">
        <f>'Tabel Offset'!U5</f>
        <v>2.5747</v>
      </c>
      <c r="G42" s="46">
        <f>F42*G$31</f>
        <v>10.2988</v>
      </c>
      <c r="H42" s="41"/>
      <c r="I42" s="123">
        <f>'Tabel Offset'!V5</f>
        <v>3.0575999999999999</v>
      </c>
      <c r="J42" s="46">
        <f>I42*J$31</f>
        <v>3.0575999999999999</v>
      </c>
      <c r="K42" s="41"/>
      <c r="L42" s="52">
        <f>SUM(E42,G42,J42)</f>
        <v>15.386399999999998</v>
      </c>
      <c r="M42" s="107">
        <f>2*1/3*$L$38*L42</f>
        <v>3.5901600000000005</v>
      </c>
      <c r="N42" s="188">
        <f>N33+M42</f>
        <v>5.5889200000000008</v>
      </c>
    </row>
    <row r="43" spans="2:15" ht="15" thickBot="1" x14ac:dyDescent="0.35">
      <c r="B43" s="102" t="s">
        <v>30</v>
      </c>
      <c r="C43" s="106">
        <f>C34</f>
        <v>-1.9000000000000057</v>
      </c>
      <c r="D43" s="120">
        <f>I34</f>
        <v>2.7515999999999998</v>
      </c>
      <c r="E43" s="47">
        <f>D43*E$31</f>
        <v>2.7515999999999998</v>
      </c>
      <c r="F43" s="123">
        <f>'Tabel Offset'!U6</f>
        <v>3.2456</v>
      </c>
      <c r="G43" s="47">
        <f>F43*G$31</f>
        <v>12.9824</v>
      </c>
      <c r="H43" s="76"/>
      <c r="I43" s="123">
        <f>'Tabel Offset'!V6</f>
        <v>3.7107999999999999</v>
      </c>
      <c r="J43" s="47">
        <f>I43*J$31</f>
        <v>3.7107999999999999</v>
      </c>
      <c r="K43" s="42"/>
      <c r="L43" s="53">
        <f>SUM(E43,G43,J43)</f>
        <v>19.444800000000001</v>
      </c>
      <c r="M43" s="108">
        <f t="shared" ref="M43:M44" si="9">2*1/3*$L$38*L43</f>
        <v>4.5371200000000016</v>
      </c>
      <c r="N43" s="189">
        <f>N34+M43</f>
        <v>8.8699766666666697</v>
      </c>
    </row>
    <row r="44" spans="2:15" ht="15" thickBot="1" x14ac:dyDescent="0.35">
      <c r="B44" s="103" t="s">
        <v>14</v>
      </c>
      <c r="C44" s="104">
        <v>0</v>
      </c>
      <c r="D44" s="122">
        <f>I35</f>
        <v>3.4636999999999998</v>
      </c>
      <c r="E44" s="48">
        <f>D44*E$31</f>
        <v>3.4636999999999998</v>
      </c>
      <c r="F44" s="123">
        <f>'Tabel Offset'!U7</f>
        <v>3.9378000000000002</v>
      </c>
      <c r="G44" s="48">
        <f>F44*G$31</f>
        <v>15.751200000000001</v>
      </c>
      <c r="H44" s="211"/>
      <c r="I44" s="123">
        <f>'Tabel Offset'!V7</f>
        <v>4.3810000000000002</v>
      </c>
      <c r="J44" s="48">
        <f>I44*J$31</f>
        <v>4.3810000000000002</v>
      </c>
      <c r="K44" s="43"/>
      <c r="L44" s="54">
        <f>SUM(E44,G44,J44)</f>
        <v>23.5959</v>
      </c>
      <c r="M44" s="109">
        <f t="shared" si="9"/>
        <v>5.5057100000000014</v>
      </c>
      <c r="N44" s="190">
        <f>N35+M44</f>
        <v>13.133573333333334</v>
      </c>
    </row>
    <row r="46" spans="2:15" ht="15" thickBot="1" x14ac:dyDescent="0.35"/>
    <row r="47" spans="2:15" ht="15" thickBot="1" x14ac:dyDescent="0.35">
      <c r="B47" s="246" t="s">
        <v>29</v>
      </c>
      <c r="C47" s="249" t="s">
        <v>31</v>
      </c>
      <c r="D47" s="129">
        <f>G38</f>
        <v>7.9</v>
      </c>
      <c r="E47" s="18" t="s">
        <v>23</v>
      </c>
      <c r="F47" s="20" t="s">
        <v>24</v>
      </c>
      <c r="G47" s="128" t="s">
        <v>56</v>
      </c>
      <c r="H47" s="128"/>
      <c r="I47" s="224" t="s">
        <v>23</v>
      </c>
      <c r="J47" s="225"/>
      <c r="K47" s="226"/>
      <c r="L47" s="127"/>
      <c r="M47" s="152"/>
      <c r="N47" s="28"/>
      <c r="O47" s="25"/>
    </row>
    <row r="48" spans="2:15" ht="15" thickBot="1" x14ac:dyDescent="0.35">
      <c r="B48" s="247"/>
      <c r="C48" s="250"/>
      <c r="D48" s="126">
        <f>D47</f>
        <v>7.9</v>
      </c>
      <c r="E48" s="21" t="s">
        <v>23</v>
      </c>
      <c r="F48" s="126" t="str">
        <f>"0,5("&amp; TEXT(D48,"0.00")&amp; "-Zmax) +"&amp; TEXT(D48,"0.00")</f>
        <v>0,5(7.90-Zmax) +7.90</v>
      </c>
      <c r="G48" s="213" t="s">
        <v>23</v>
      </c>
      <c r="H48" s="214"/>
      <c r="I48" s="227" t="str">
        <f>G47</f>
        <v>Z Max</v>
      </c>
      <c r="J48" s="224" t="s">
        <v>23</v>
      </c>
      <c r="K48" s="219"/>
      <c r="L48" s="268" t="s">
        <v>27</v>
      </c>
      <c r="M48" s="275" t="s">
        <v>57</v>
      </c>
      <c r="N48" s="270" t="s">
        <v>30</v>
      </c>
      <c r="O48" s="249" t="s">
        <v>32</v>
      </c>
    </row>
    <row r="49" spans="2:15" ht="15" thickBot="1" x14ac:dyDescent="0.35">
      <c r="B49" s="247"/>
      <c r="C49" s="250"/>
      <c r="D49" s="27" t="s">
        <v>33</v>
      </c>
      <c r="E49" s="63">
        <v>1</v>
      </c>
      <c r="F49" s="64" t="s">
        <v>33</v>
      </c>
      <c r="G49" s="217">
        <v>4</v>
      </c>
      <c r="H49" s="18"/>
      <c r="I49" s="64" t="s">
        <v>33</v>
      </c>
      <c r="J49" s="18">
        <v>1</v>
      </c>
      <c r="K49" s="63"/>
      <c r="L49" s="269"/>
      <c r="M49" s="276"/>
      <c r="N49" s="269"/>
      <c r="O49" s="250"/>
    </row>
    <row r="50" spans="2:15" ht="15" thickBot="1" x14ac:dyDescent="0.35">
      <c r="B50" s="248"/>
      <c r="C50" s="251"/>
      <c r="D50" s="33" t="s">
        <v>26</v>
      </c>
      <c r="E50" s="35" t="s">
        <v>25</v>
      </c>
      <c r="F50" s="33" t="s">
        <v>26</v>
      </c>
      <c r="G50" s="215" t="s">
        <v>25</v>
      </c>
      <c r="H50" s="216" t="s">
        <v>123</v>
      </c>
      <c r="I50" s="228" t="s">
        <v>26</v>
      </c>
      <c r="J50" s="215" t="s">
        <v>25</v>
      </c>
      <c r="K50" s="221" t="s">
        <v>37</v>
      </c>
      <c r="L50" s="251"/>
      <c r="M50" s="276"/>
      <c r="N50" s="271"/>
      <c r="O50" s="251"/>
    </row>
    <row r="51" spans="2:15" ht="15" thickBot="1" x14ac:dyDescent="0.35">
      <c r="B51" s="101" t="s">
        <v>9</v>
      </c>
      <c r="C51" s="105">
        <f>C42</f>
        <v>-3.8000000000000114</v>
      </c>
      <c r="D51" s="120">
        <f>I42</f>
        <v>3.0575999999999999</v>
      </c>
      <c r="E51" s="46">
        <f>D51*E$31</f>
        <v>3.0575999999999999</v>
      </c>
      <c r="F51" s="123">
        <v>3.0710000000000002</v>
      </c>
      <c r="G51" s="87">
        <f>F51*G$31</f>
        <v>12.284000000000001</v>
      </c>
      <c r="H51" s="31">
        <f>0.5*(K51-'Tabel Offset'!$AA$6)+'Tabel Offset'!$AA$6</f>
        <v>8.4775999999999989</v>
      </c>
      <c r="I51" s="123">
        <v>4.0339999999999998</v>
      </c>
      <c r="J51" s="46">
        <f>I51*J$31</f>
        <v>4.0339999999999998</v>
      </c>
      <c r="K51" s="229">
        <v>9.0551999999999992</v>
      </c>
      <c r="L51" s="153">
        <f>SUM(E51,G51,J51)</f>
        <v>19.375599999999999</v>
      </c>
      <c r="M51" s="31">
        <f>(K51-'Perhitungan Main Part'!$DL$3)/2</f>
        <v>0.57759999999999945</v>
      </c>
      <c r="N51" s="154">
        <f>2*1/3*M$51*L51</f>
        <v>7.4608977066666586</v>
      </c>
      <c r="O51" s="61">
        <f>N42+N51</f>
        <v>13.049817706666659</v>
      </c>
    </row>
    <row r="52" spans="2:15" ht="15" thickBot="1" x14ac:dyDescent="0.35">
      <c r="B52" s="102" t="s">
        <v>30</v>
      </c>
      <c r="C52" s="106">
        <f>C43</f>
        <v>-1.9000000000000057</v>
      </c>
      <c r="D52" s="120">
        <f t="shared" ref="D52:D53" si="10">I43</f>
        <v>3.7107999999999999</v>
      </c>
      <c r="E52" s="47">
        <f>D52*E$31</f>
        <v>3.7107999999999999</v>
      </c>
      <c r="F52" s="124">
        <v>3.69</v>
      </c>
      <c r="G52" s="88">
        <f>F52*G$31</f>
        <v>14.76</v>
      </c>
      <c r="H52" s="29">
        <f>0.5*(K52-'Tabel Offset'!$AA$6)+'Tabel Offset'!$AA$6</f>
        <v>8.4338499999999996</v>
      </c>
      <c r="I52" s="124">
        <v>4.6970000000000001</v>
      </c>
      <c r="J52" s="47">
        <f>I52*J$31</f>
        <v>4.6970000000000001</v>
      </c>
      <c r="K52" s="229">
        <v>8.9677000000000007</v>
      </c>
      <c r="L52" s="155">
        <f>SUM(E52,G52,J52)</f>
        <v>23.1678</v>
      </c>
      <c r="M52" s="29">
        <f>(K52-'Perhitungan Main Part'!$DL$3)/2</f>
        <v>0.53385000000000016</v>
      </c>
      <c r="N52" s="156">
        <f>2*1/3*M$52*L52</f>
        <v>8.2454200200000027</v>
      </c>
      <c r="O52" s="59">
        <f>N43+N52</f>
        <v>17.115396686666671</v>
      </c>
    </row>
    <row r="53" spans="2:15" ht="15" thickBot="1" x14ac:dyDescent="0.35">
      <c r="B53" s="103" t="s">
        <v>14</v>
      </c>
      <c r="C53" s="104">
        <v>0</v>
      </c>
      <c r="D53" s="120">
        <f t="shared" si="10"/>
        <v>4.3810000000000002</v>
      </c>
      <c r="E53" s="48">
        <f>D53*E$31</f>
        <v>4.3810000000000002</v>
      </c>
      <c r="F53" s="125">
        <f>'Perhitungan Main Part'!DV6</f>
        <v>5.0115999999999996</v>
      </c>
      <c r="G53" s="89">
        <f>F53*G$31</f>
        <v>20.046399999999998</v>
      </c>
      <c r="H53" s="30">
        <f>0.5*(K53-'Tabel Offset'!$AA$6)+'Tabel Offset'!$AA$6</f>
        <v>8.3972499999999997</v>
      </c>
      <c r="I53" s="125">
        <v>5.2110000000000003</v>
      </c>
      <c r="J53" s="48">
        <f>I53*J$31</f>
        <v>5.2110000000000003</v>
      </c>
      <c r="K53" s="230">
        <v>8.8945000000000007</v>
      </c>
      <c r="L53" s="157">
        <f>SUM(E53,G53,J53)</f>
        <v>29.638399999999997</v>
      </c>
      <c r="M53" s="30">
        <f>(K53-'Perhitungan Main Part'!$DL$3)/2</f>
        <v>0.49725000000000019</v>
      </c>
      <c r="N53" s="158">
        <f>2*1/3*M$53*L53</f>
        <v>9.8251296000000021</v>
      </c>
      <c r="O53" s="60">
        <f>N44+N53</f>
        <v>22.958702933333335</v>
      </c>
    </row>
    <row r="57" spans="2:15" ht="15" thickBot="1" x14ac:dyDescent="0.35"/>
    <row r="58" spans="2:15" ht="15" customHeight="1" x14ac:dyDescent="0.3">
      <c r="B58" s="263" t="s">
        <v>29</v>
      </c>
      <c r="C58" s="281" t="s">
        <v>31</v>
      </c>
      <c r="D58" s="272" t="s">
        <v>52</v>
      </c>
      <c r="E58" s="277"/>
      <c r="F58" s="272" t="s">
        <v>5</v>
      </c>
      <c r="G58" s="273"/>
      <c r="H58" s="273"/>
      <c r="I58" s="274"/>
      <c r="J58" s="266" t="s">
        <v>58</v>
      </c>
      <c r="K58" s="222"/>
    </row>
    <row r="59" spans="2:15" ht="15" thickBot="1" x14ac:dyDescent="0.35">
      <c r="B59" s="280"/>
      <c r="C59" s="282"/>
      <c r="D59" s="283"/>
      <c r="E59" s="279"/>
      <c r="F59" s="114">
        <f>G29</f>
        <v>7.2</v>
      </c>
      <c r="G59" s="151">
        <f>G38</f>
        <v>7.9</v>
      </c>
      <c r="H59" s="212"/>
      <c r="I59" s="115" t="s">
        <v>37</v>
      </c>
      <c r="J59" s="267"/>
      <c r="K59" s="222"/>
    </row>
    <row r="60" spans="2:15" ht="18" customHeight="1" x14ac:dyDescent="0.3">
      <c r="B60" s="110" t="s">
        <v>9</v>
      </c>
      <c r="C60" s="111">
        <f>C42</f>
        <v>-3.8000000000000114</v>
      </c>
      <c r="D60" s="192">
        <v>6.298</v>
      </c>
      <c r="E60" s="277" t="s">
        <v>72</v>
      </c>
      <c r="F60" s="146">
        <f>N33</f>
        <v>1.9987600000000001</v>
      </c>
      <c r="G60" s="149">
        <f>N42</f>
        <v>5.5889200000000008</v>
      </c>
      <c r="H60" s="147"/>
      <c r="I60" s="147">
        <f>O51</f>
        <v>13.049817706666659</v>
      </c>
      <c r="J60" s="161">
        <f>2*M51+$D$47</f>
        <v>9.0551999999999992</v>
      </c>
      <c r="K60" s="85"/>
    </row>
    <row r="61" spans="2:15" x14ac:dyDescent="0.3">
      <c r="B61" s="102" t="s">
        <v>30</v>
      </c>
      <c r="C61" s="112">
        <f>C43</f>
        <v>-1.9000000000000057</v>
      </c>
      <c r="D61" s="99">
        <v>5.7530000000000001</v>
      </c>
      <c r="E61" s="278"/>
      <c r="F61" s="116">
        <f>N34</f>
        <v>4.3328566666666672</v>
      </c>
      <c r="G61" s="148">
        <f>N43</f>
        <v>8.8699766666666697</v>
      </c>
      <c r="H61" s="159"/>
      <c r="I61" s="159">
        <f>O52</f>
        <v>17.115396686666671</v>
      </c>
      <c r="J61" s="162">
        <f t="shared" ref="J61" si="11">2*M52+$D$47</f>
        <v>8.9677000000000007</v>
      </c>
      <c r="K61" s="85"/>
    </row>
    <row r="62" spans="2:15" ht="15" thickBot="1" x14ac:dyDescent="0.35">
      <c r="B62" s="103" t="s">
        <v>14</v>
      </c>
      <c r="C62" s="113">
        <v>0</v>
      </c>
      <c r="D62" s="99">
        <v>5.274</v>
      </c>
      <c r="E62" s="279"/>
      <c r="F62" s="117">
        <f>N35</f>
        <v>7.6278633333333339</v>
      </c>
      <c r="G62" s="150">
        <f>N44</f>
        <v>13.133573333333334</v>
      </c>
      <c r="H62" s="160"/>
      <c r="I62" s="160">
        <f>O53</f>
        <v>22.958702933333335</v>
      </c>
      <c r="J62" s="203">
        <f>2*M53+$D$47</f>
        <v>8.8945000000000007</v>
      </c>
      <c r="K62" s="223"/>
    </row>
  </sheetData>
  <mergeCells count="38">
    <mergeCell ref="C2:C5"/>
    <mergeCell ref="L3:L5"/>
    <mergeCell ref="M3:M5"/>
    <mergeCell ref="N3:N5"/>
    <mergeCell ref="B20:B23"/>
    <mergeCell ref="C20:C23"/>
    <mergeCell ref="L21:L23"/>
    <mergeCell ref="M21:M23"/>
    <mergeCell ref="N21:N23"/>
    <mergeCell ref="B11:B14"/>
    <mergeCell ref="C11:C14"/>
    <mergeCell ref="L12:L14"/>
    <mergeCell ref="M12:M14"/>
    <mergeCell ref="N12:N14"/>
    <mergeCell ref="B2:B5"/>
    <mergeCell ref="E60:E62"/>
    <mergeCell ref="E58:E59"/>
    <mergeCell ref="B58:B59"/>
    <mergeCell ref="C58:C59"/>
    <mergeCell ref="D58:D59"/>
    <mergeCell ref="O48:O50"/>
    <mergeCell ref="M48:M50"/>
    <mergeCell ref="N30:N32"/>
    <mergeCell ref="N39:N41"/>
    <mergeCell ref="B29:B32"/>
    <mergeCell ref="C29:C32"/>
    <mergeCell ref="L30:L32"/>
    <mergeCell ref="M30:M32"/>
    <mergeCell ref="B38:B41"/>
    <mergeCell ref="C38:C41"/>
    <mergeCell ref="L39:L41"/>
    <mergeCell ref="M39:M41"/>
    <mergeCell ref="J58:J59"/>
    <mergeCell ref="B47:B50"/>
    <mergeCell ref="C47:C50"/>
    <mergeCell ref="L48:L50"/>
    <mergeCell ref="N48:N50"/>
    <mergeCell ref="F58:I58"/>
  </mergeCells>
  <pageMargins left="0.7" right="0.7" top="0.75" bottom="0.75" header="0.3" footer="0.3"/>
  <pageSetup paperSize="9" scale="56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88"/>
  <sheetViews>
    <sheetView showGridLines="0" tabSelected="1" view="pageBreakPreview" topLeftCell="N1" zoomScale="85" zoomScaleNormal="25" zoomScaleSheetLayoutView="85" workbookViewId="0">
      <selection activeCell="R3" sqref="R3"/>
    </sheetView>
  </sheetViews>
  <sheetFormatPr defaultColWidth="9.109375" defaultRowHeight="14.4" x14ac:dyDescent="0.3"/>
  <cols>
    <col min="1" max="11" width="9.109375" style="68"/>
    <col min="12" max="13" width="24.109375" style="68" bestFit="1" customWidth="1"/>
    <col min="14" max="14" width="25.77734375" style="68" customWidth="1"/>
    <col min="15" max="22" width="9.109375" style="68"/>
    <col min="23" max="25" width="9.6640625" style="68" customWidth="1"/>
    <col min="26" max="38" width="9.109375" style="68"/>
    <col min="39" max="39" width="9.6640625" style="68" customWidth="1"/>
    <col min="40" max="40" width="9.109375" style="68"/>
    <col min="41" max="42" width="8.88671875" customWidth="1"/>
    <col min="43" max="45" width="9.109375" style="68"/>
    <col min="46" max="46" width="10.5546875" style="68" bestFit="1" customWidth="1"/>
    <col min="47" max="49" width="20.77734375" style="68" bestFit="1" customWidth="1"/>
    <col min="50" max="52" width="21.88671875" style="68" bestFit="1" customWidth="1"/>
    <col min="53" max="53" width="23.88671875" style="68" bestFit="1" customWidth="1"/>
    <col min="54" max="54" width="25.44140625" style="68" bestFit="1" customWidth="1"/>
    <col min="55" max="56" width="24.33203125" style="68" bestFit="1" customWidth="1"/>
    <col min="57" max="57" width="26.44140625" style="68" bestFit="1" customWidth="1"/>
    <col min="58" max="16384" width="9.109375" style="68"/>
  </cols>
  <sheetData>
    <row r="1" spans="2:55" x14ac:dyDescent="0.3">
      <c r="Q1" s="95" t="s">
        <v>83</v>
      </c>
      <c r="R1" s="95"/>
      <c r="S1" s="95"/>
      <c r="T1" s="95"/>
      <c r="AO1" s="85" t="s">
        <v>59</v>
      </c>
      <c r="AP1" s="85"/>
      <c r="AR1" s="289" t="s">
        <v>73</v>
      </c>
      <c r="AS1" s="289"/>
      <c r="AT1" s="289"/>
      <c r="AU1" s="289"/>
      <c r="AV1" s="289"/>
      <c r="AW1" s="289"/>
      <c r="AX1" s="289"/>
      <c r="AY1" s="289"/>
      <c r="AZ1" s="289"/>
      <c r="BA1" s="289"/>
    </row>
    <row r="2" spans="2:55" ht="15.6" x14ac:dyDescent="0.3">
      <c r="B2" s="290" t="s">
        <v>5</v>
      </c>
      <c r="C2" s="290"/>
      <c r="D2" s="67">
        <v>0</v>
      </c>
      <c r="E2" s="67">
        <f>'Perhitungan Main Part'!G2</f>
        <v>0.5</v>
      </c>
      <c r="F2" s="67">
        <f>'Perhitungan Main Part'!S2</f>
        <v>1</v>
      </c>
      <c r="G2" s="67">
        <f>'Perhitungan Main Part'!AE2</f>
        <v>2</v>
      </c>
      <c r="H2" s="67">
        <f>'Perhitungan Main Part'!AQ2</f>
        <v>3</v>
      </c>
      <c r="I2" s="67">
        <f>'Perhitungan Main Part'!BC2</f>
        <v>4</v>
      </c>
      <c r="J2" s="67">
        <f>'Perhitungan Main Part'!BO2</f>
        <v>5</v>
      </c>
      <c r="K2" s="67">
        <f>'Perhitungan Main Part'!CA2</f>
        <v>6</v>
      </c>
      <c r="L2" s="231">
        <f>'Perhitungan Main Part'!CM2</f>
        <v>6.5</v>
      </c>
      <c r="M2" s="67">
        <f>'Perhitungan Main Part'!CY2</f>
        <v>7.2</v>
      </c>
      <c r="N2" s="67">
        <f>'Perhitungan Main Part'!DK2</f>
        <v>7.9</v>
      </c>
      <c r="O2" s="67" t="s">
        <v>37</v>
      </c>
      <c r="Q2" s="233" t="s">
        <v>34</v>
      </c>
      <c r="R2" s="71">
        <v>25</v>
      </c>
      <c r="S2" s="233" t="s">
        <v>36</v>
      </c>
      <c r="T2" s="233"/>
      <c r="U2" s="73">
        <f t="shared" ref="U2:AB2" si="0">D2*$R$2</f>
        <v>0</v>
      </c>
      <c r="V2" s="73">
        <f>E2*$R$2</f>
        <v>12.5</v>
      </c>
      <c r="W2" s="73">
        <f>F2*$R$2</f>
        <v>25</v>
      </c>
      <c r="X2" s="73">
        <f t="shared" si="0"/>
        <v>50</v>
      </c>
      <c r="Y2" s="73">
        <f t="shared" si="0"/>
        <v>75</v>
      </c>
      <c r="Z2" s="73">
        <f t="shared" si="0"/>
        <v>100</v>
      </c>
      <c r="AA2" s="73">
        <f t="shared" si="0"/>
        <v>125</v>
      </c>
      <c r="AB2" s="73">
        <f t="shared" si="0"/>
        <v>150</v>
      </c>
      <c r="AC2" s="73">
        <f>L2*$R$2</f>
        <v>162.5</v>
      </c>
      <c r="AD2" s="73">
        <f t="shared" ref="AD2:AE2" si="1">M2*$R$2</f>
        <v>180</v>
      </c>
      <c r="AE2" s="73">
        <f t="shared" si="1"/>
        <v>197.5</v>
      </c>
      <c r="AF2" s="291" t="s">
        <v>37</v>
      </c>
      <c r="AG2" s="291"/>
      <c r="AI2" s="292"/>
      <c r="AJ2" s="233" t="s">
        <v>35</v>
      </c>
      <c r="AK2" s="233" t="s">
        <v>52</v>
      </c>
      <c r="AL2" s="73" t="s">
        <v>52</v>
      </c>
      <c r="AM2" s="73">
        <f>$R$2*'Perhitungan Cant Part'!F59</f>
        <v>180</v>
      </c>
      <c r="AN2" s="73">
        <f>$R$2*'Perhitungan Cant Part'!G59</f>
        <v>197.5</v>
      </c>
      <c r="AO2" s="73">
        <f>$R$2*'Perhitungan Cant Part'!J60</f>
        <v>226.38</v>
      </c>
      <c r="AP2" s="73">
        <f>$R$2*'Perhitungan Cant Part'!J61</f>
        <v>224.19250000000002</v>
      </c>
      <c r="AR2" s="70" t="str">
        <f t="shared" ref="AR2:AR26" si="2">IF(U$2&lt;$T4,IF(V$2&lt;$T4,"-",$T4),U$2)</f>
        <v>-</v>
      </c>
      <c r="AS2" s="70" t="str">
        <f t="shared" ref="AS2:AS26" si="3">IF(V$2&lt;$T4,IF(W$2&lt;$T4,"-",$T4),V$2)</f>
        <v>-</v>
      </c>
      <c r="AT2" s="70" t="str">
        <f t="shared" ref="AT2:AT26" si="4">IF(W$2&lt;$T4,IF(X$2&lt;$T4,"-",$T4),W$2)</f>
        <v>-</v>
      </c>
      <c r="AU2" s="70" t="str">
        <f t="shared" ref="AU2:AU26" si="5">IF(X$2&lt;$T4,IF(Y$2&lt;$T4,"-",$T4),X$2)</f>
        <v>-</v>
      </c>
      <c r="AV2" s="70" t="str">
        <f t="shared" ref="AV2:AV26" si="6">IF(Y$2&lt;$T4,IF(Z$2&lt;$T4,"-",$T4),Y$2)</f>
        <v>-</v>
      </c>
      <c r="AW2" s="70" t="str">
        <f t="shared" ref="AW2:AW26" si="7">IF(Z$2&lt;$T4,IF(AA$2&lt;$T4,"-",$T4),Z$2)</f>
        <v>-</v>
      </c>
      <c r="AX2" s="70">
        <f t="shared" ref="AX2:AX26" si="8">IF(AA$2&lt;$T4,IF(AB$2&lt;$T4,"-",$T4),AA$2)</f>
        <v>131.85</v>
      </c>
      <c r="AY2" s="70">
        <f t="shared" ref="AY2:AY26" si="9">IF(AB$2&lt;$T4,IF(AC$2&lt;$T4,"-",$T4),AB$2)</f>
        <v>150</v>
      </c>
      <c r="AZ2" s="70">
        <f t="shared" ref="AZ2:AZ26" si="10">IF(AC$2&lt;$T4,IF(AD$2&lt;$T4,"-",$T4),AC$2)</f>
        <v>162.5</v>
      </c>
      <c r="BA2" s="70">
        <f t="shared" ref="BA2:BA26" si="11">IF(AD$2&lt;$T4,IF(AE$2&lt;$T4,"-",$T4),AD$2)</f>
        <v>180</v>
      </c>
      <c r="BB2" s="70">
        <f t="shared" ref="BB2:BB26" si="12">IF(AE$2&lt;$T4,IF($AG4&lt;$T4,"-",$T4),AE$2)</f>
        <v>197.5</v>
      </c>
      <c r="BC2" s="70">
        <f t="shared" ref="BC2:BC26" si="13">AG4</f>
        <v>222.36250000000001</v>
      </c>
    </row>
    <row r="3" spans="2:55" ht="15.6" x14ac:dyDescent="0.3">
      <c r="B3" s="69" t="s">
        <v>29</v>
      </c>
      <c r="C3" s="98" t="s">
        <v>52</v>
      </c>
      <c r="D3" s="66" t="s">
        <v>32</v>
      </c>
      <c r="E3" s="66" t="s">
        <v>32</v>
      </c>
      <c r="F3" s="66" t="s">
        <v>32</v>
      </c>
      <c r="G3" s="66" t="s">
        <v>32</v>
      </c>
      <c r="H3" s="66" t="s">
        <v>32</v>
      </c>
      <c r="I3" s="66" t="s">
        <v>32</v>
      </c>
      <c r="J3" s="66" t="s">
        <v>32</v>
      </c>
      <c r="K3" s="66" t="s">
        <v>32</v>
      </c>
      <c r="L3" s="66" t="s">
        <v>32</v>
      </c>
      <c r="M3" s="66" t="s">
        <v>32</v>
      </c>
      <c r="N3" s="66" t="s">
        <v>32</v>
      </c>
      <c r="O3" s="66" t="s">
        <v>39</v>
      </c>
      <c r="Q3" s="233"/>
      <c r="R3" s="71">
        <v>31.69</v>
      </c>
      <c r="S3" s="96" t="s">
        <v>35</v>
      </c>
      <c r="T3" s="72" t="s">
        <v>52</v>
      </c>
      <c r="U3" s="26" t="s">
        <v>32</v>
      </c>
      <c r="V3" s="26" t="s">
        <v>32</v>
      </c>
      <c r="W3" s="26" t="s">
        <v>32</v>
      </c>
      <c r="X3" s="26" t="s">
        <v>32</v>
      </c>
      <c r="Y3" s="26" t="s">
        <v>32</v>
      </c>
      <c r="Z3" s="26" t="s">
        <v>32</v>
      </c>
      <c r="AA3" s="26" t="s">
        <v>32</v>
      </c>
      <c r="AB3" s="26" t="s">
        <v>32</v>
      </c>
      <c r="AC3" s="26" t="s">
        <v>32</v>
      </c>
      <c r="AD3" s="26" t="s">
        <v>32</v>
      </c>
      <c r="AE3" s="26" t="s">
        <v>32</v>
      </c>
      <c r="AF3" s="26" t="s">
        <v>32</v>
      </c>
      <c r="AG3" s="26" t="s">
        <v>51</v>
      </c>
      <c r="AI3" s="292"/>
      <c r="AJ3" s="233"/>
      <c r="AK3" s="233"/>
      <c r="AL3" s="26" t="s">
        <v>32</v>
      </c>
      <c r="AM3" s="26" t="s">
        <v>32</v>
      </c>
      <c r="AN3" s="26" t="s">
        <v>32</v>
      </c>
      <c r="AO3" s="26" t="s">
        <v>32</v>
      </c>
      <c r="AP3" s="26" t="s">
        <v>32</v>
      </c>
      <c r="AR3" s="70" t="str">
        <f t="shared" si="2"/>
        <v>-</v>
      </c>
      <c r="AS3" s="70">
        <f t="shared" si="3"/>
        <v>13.65</v>
      </c>
      <c r="AT3" s="70">
        <f t="shared" si="4"/>
        <v>25</v>
      </c>
      <c r="AU3" s="70">
        <f t="shared" si="5"/>
        <v>50</v>
      </c>
      <c r="AV3" s="70">
        <f t="shared" si="6"/>
        <v>75</v>
      </c>
      <c r="AW3" s="70">
        <f t="shared" si="7"/>
        <v>100</v>
      </c>
      <c r="AX3" s="70">
        <f t="shared" si="8"/>
        <v>125</v>
      </c>
      <c r="AY3" s="70">
        <f t="shared" si="9"/>
        <v>150</v>
      </c>
      <c r="AZ3" s="70">
        <f t="shared" si="10"/>
        <v>162.5</v>
      </c>
      <c r="BA3" s="70">
        <f t="shared" si="11"/>
        <v>180</v>
      </c>
      <c r="BB3" s="70">
        <f t="shared" si="12"/>
        <v>197.5</v>
      </c>
      <c r="BC3" s="70">
        <f t="shared" si="13"/>
        <v>220.18749999999997</v>
      </c>
    </row>
    <row r="4" spans="2:55" x14ac:dyDescent="0.3">
      <c r="B4" s="69" t="str">
        <f>'Tabel Offset'!A7</f>
        <v>AP</v>
      </c>
      <c r="C4" s="99">
        <v>5.274</v>
      </c>
      <c r="D4" s="26">
        <v>0</v>
      </c>
      <c r="E4" s="70">
        <f>'Perhitungan Main Part'!L6</f>
        <v>0</v>
      </c>
      <c r="F4" s="70">
        <f>'Perhitungan Main Part'!X6</f>
        <v>0</v>
      </c>
      <c r="G4" s="70">
        <f>'Perhitungan Main Part'!AJ6</f>
        <v>0</v>
      </c>
      <c r="H4" s="70">
        <f>'Perhitungan Main Part'!AV6</f>
        <v>0</v>
      </c>
      <c r="I4" s="70">
        <f>'Perhitungan Main Part'!BH6</f>
        <v>0</v>
      </c>
      <c r="J4" s="70">
        <f>'Perhitungan Main Part'!BT6</f>
        <v>0</v>
      </c>
      <c r="K4" s="70">
        <f>'Perhitungan Main Part'!CF6</f>
        <v>1.4314666666666664</v>
      </c>
      <c r="L4" s="70">
        <f>'Perhitungan Main Part'!CR6</f>
        <v>3.4839333333333329</v>
      </c>
      <c r="M4" s="70">
        <f>'Perhitungan Main Part'!DD6</f>
        <v>7.6278633333333339</v>
      </c>
      <c r="N4" s="70">
        <f>'Perhitungan Main Part'!DP6</f>
        <v>13.133573333333334</v>
      </c>
      <c r="O4" s="70">
        <f>'Perhitungan Main Part'!ED6</f>
        <v>22.958702933333335</v>
      </c>
      <c r="Q4" s="286">
        <v>0.5</v>
      </c>
      <c r="R4" s="72" t="str">
        <f t="shared" ref="R4:R28" si="14">B4</f>
        <v>AP</v>
      </c>
      <c r="S4" s="67">
        <v>0</v>
      </c>
      <c r="T4" s="97">
        <f t="shared" ref="T4:T28" si="15">C4*R$2</f>
        <v>131.85</v>
      </c>
      <c r="U4" s="70" t="str">
        <f t="shared" ref="U4:AC4" si="16">IF(U$2&lt;$T4,"-",D4*$Q$4)</f>
        <v>-</v>
      </c>
      <c r="V4" s="70" t="str">
        <f t="shared" si="16"/>
        <v>-</v>
      </c>
      <c r="W4" s="70" t="str">
        <f t="shared" si="16"/>
        <v>-</v>
      </c>
      <c r="X4" s="70" t="str">
        <f t="shared" si="16"/>
        <v>-</v>
      </c>
      <c r="Y4" s="70" t="str">
        <f t="shared" si="16"/>
        <v>-</v>
      </c>
      <c r="Z4" s="70" t="str">
        <f t="shared" si="16"/>
        <v>-</v>
      </c>
      <c r="AA4" s="70" t="str">
        <f t="shared" si="16"/>
        <v>-</v>
      </c>
      <c r="AB4" s="70">
        <f t="shared" si="16"/>
        <v>0.71573333333333322</v>
      </c>
      <c r="AC4" s="70">
        <f t="shared" si="16"/>
        <v>1.7419666666666664</v>
      </c>
      <c r="AD4" s="70">
        <f t="shared" ref="AD4:AE4" si="17">IF(AD$2&lt;$T4,"-",M4*$Q$4)</f>
        <v>3.8139316666666669</v>
      </c>
      <c r="AE4" s="70">
        <f t="shared" si="17"/>
        <v>6.5667866666666672</v>
      </c>
      <c r="AF4" s="70">
        <f>O4*$Q$4</f>
        <v>11.479351466666667</v>
      </c>
      <c r="AG4" s="97">
        <f>'Perhitungan Main Part'!EA6*R$2</f>
        <v>222.36250000000001</v>
      </c>
      <c r="AI4" s="72" t="s">
        <v>9</v>
      </c>
      <c r="AJ4" s="67">
        <f>'Perhitungan Cant Part'!C60/('Tabel Offset'!$AA$4/20)*$R$3</f>
        <v>-25.33333333333341</v>
      </c>
      <c r="AK4" s="97">
        <f>$R$2*'Perhitungan Cant Part'!D60</f>
        <v>157.44999999999999</v>
      </c>
      <c r="AL4" s="70">
        <f>AJ4</f>
        <v>-25.33333333333341</v>
      </c>
      <c r="AM4" s="70">
        <f>$Q$4*'Perhitungan Cant Part'!F60+$AJ4</f>
        <v>-24.333953333333412</v>
      </c>
      <c r="AN4" s="70">
        <f>$Q$4*'Perhitungan Cant Part'!G60+$AJ4</f>
        <v>-22.538873333333409</v>
      </c>
      <c r="AO4" s="70">
        <f>$Q$4*'Perhitungan Cant Part'!I60+$AJ4</f>
        <v>-18.808424480000081</v>
      </c>
      <c r="AP4" s="70"/>
      <c r="AR4" s="70">
        <f t="shared" si="2"/>
        <v>1.7250000000000001</v>
      </c>
      <c r="AS4" s="70">
        <f t="shared" si="3"/>
        <v>12.5</v>
      </c>
      <c r="AT4" s="70">
        <f t="shared" si="4"/>
        <v>25</v>
      </c>
      <c r="AU4" s="70">
        <f t="shared" si="5"/>
        <v>50</v>
      </c>
      <c r="AV4" s="70">
        <f t="shared" si="6"/>
        <v>75</v>
      </c>
      <c r="AW4" s="70">
        <f t="shared" si="7"/>
        <v>100</v>
      </c>
      <c r="AX4" s="70">
        <f t="shared" si="8"/>
        <v>125</v>
      </c>
      <c r="AY4" s="70">
        <f t="shared" si="9"/>
        <v>150</v>
      </c>
      <c r="AZ4" s="70">
        <f t="shared" si="10"/>
        <v>162.5</v>
      </c>
      <c r="BA4" s="70">
        <f t="shared" si="11"/>
        <v>180</v>
      </c>
      <c r="BB4" s="70">
        <f t="shared" si="12"/>
        <v>197.5</v>
      </c>
      <c r="BC4" s="70">
        <f t="shared" si="13"/>
        <v>218.02250000000001</v>
      </c>
    </row>
    <row r="5" spans="2:55" x14ac:dyDescent="0.3">
      <c r="B5" s="69">
        <f>'Tabel Offset'!A8</f>
        <v>0.5</v>
      </c>
      <c r="C5" s="99">
        <v>0.54600000000000004</v>
      </c>
      <c r="D5" s="26">
        <v>0</v>
      </c>
      <c r="E5" s="70">
        <f>'Perhitungan Main Part'!L7</f>
        <v>0</v>
      </c>
      <c r="F5" s="70">
        <f>'Perhitungan Main Part'!X7</f>
        <v>2.0999999999999998E-2</v>
      </c>
      <c r="G5" s="70">
        <f>'Perhitungan Main Part'!AJ7</f>
        <v>0.79999999999999993</v>
      </c>
      <c r="H5" s="70">
        <f>'Perhitungan Main Part'!AV7</f>
        <v>2.2415333333333329</v>
      </c>
      <c r="I5" s="70">
        <f>'Perhitungan Main Part'!BH7</f>
        <v>4.1208666666666662</v>
      </c>
      <c r="J5" s="70">
        <f>'Perhitungan Main Part'!BT7</f>
        <v>7.0502999999999991</v>
      </c>
      <c r="K5" s="70">
        <f>'Perhitungan Main Part'!CF7</f>
        <v>11.871666666666666</v>
      </c>
      <c r="L5" s="70">
        <f>'Perhitungan Main Part'!CR7</f>
        <v>15.087199999999999</v>
      </c>
      <c r="M5" s="70">
        <f>'Perhitungan Main Part'!DD7</f>
        <v>20.627886666666669</v>
      </c>
      <c r="N5" s="70">
        <f>'Perhitungan Main Part'!DP7</f>
        <v>27.316246666666672</v>
      </c>
      <c r="O5" s="70">
        <f>'Perhitungan Main Part'!ED7</f>
        <v>37.540020666666663</v>
      </c>
      <c r="Q5" s="287"/>
      <c r="R5" s="72">
        <f t="shared" si="14"/>
        <v>0.5</v>
      </c>
      <c r="S5" s="67">
        <f t="shared" ref="S5:S27" si="18">R5*$R$3</f>
        <v>15.845000000000001</v>
      </c>
      <c r="T5" s="97">
        <f t="shared" si="15"/>
        <v>13.65</v>
      </c>
      <c r="U5" s="70" t="str">
        <f t="shared" ref="U5:U28" si="19">IF(U$2&lt;$T5,"-",D5*$Q$4+$S5)</f>
        <v>-</v>
      </c>
      <c r="V5" s="70" t="str">
        <f t="shared" ref="V5:V28" si="20">IF(V$2&lt;$T5,"-",E5*$Q$4+$S5)</f>
        <v>-</v>
      </c>
      <c r="W5" s="70">
        <f t="shared" ref="W5:W28" si="21">IF(W$2&lt;$T5,"-",F5*$Q$4+$S5)</f>
        <v>15.855500000000001</v>
      </c>
      <c r="X5" s="70">
        <f t="shared" ref="X5:X28" si="22">IF(X$2&lt;$T5,"-",G5*$Q$4+$S5)</f>
        <v>16.245000000000001</v>
      </c>
      <c r="Y5" s="70">
        <f t="shared" ref="Y5:Y28" si="23">IF(Y$2&lt;$T5,"-",H5*$Q$4+$S5)</f>
        <v>16.965766666666667</v>
      </c>
      <c r="Z5" s="70">
        <f t="shared" ref="Z5:Z28" si="24">IF(Z$2&lt;$T5,"-",I5*$Q$4+$S5)</f>
        <v>17.905433333333335</v>
      </c>
      <c r="AA5" s="70">
        <f t="shared" ref="AA5:AA28" si="25">IF(AA$2&lt;$T5,"-",J5*$Q$4+$S5)</f>
        <v>19.370149999999999</v>
      </c>
      <c r="AB5" s="70">
        <f t="shared" ref="AB5:AB28" si="26">IF(AB$2&lt;$T5,"-",K5*$Q$4+$S5)</f>
        <v>21.780833333333334</v>
      </c>
      <c r="AC5" s="70">
        <f t="shared" ref="AC5:AC28" si="27">IF(AC$2&lt;$T5,"-",L5*$Q$4+$S5)</f>
        <v>23.3886</v>
      </c>
      <c r="AD5" s="70">
        <f t="shared" ref="AD5:AE19" si="28">IF(AD$2&lt;$T5,"-",M5*$Q$4+$S5)</f>
        <v>26.158943333333333</v>
      </c>
      <c r="AE5" s="70">
        <f t="shared" si="28"/>
        <v>29.503123333333335</v>
      </c>
      <c r="AF5" s="70">
        <f>O5*$Q$4+S5</f>
        <v>34.615010333333331</v>
      </c>
      <c r="AG5" s="97">
        <f>'Perhitungan Main Part'!EA7*R$2</f>
        <v>220.18749999999997</v>
      </c>
      <c r="AI5" s="72" t="s">
        <v>30</v>
      </c>
      <c r="AJ5" s="67">
        <f>'Perhitungan Cant Part'!C61/('Tabel Offset'!$AA$4/20)*$R$3</f>
        <v>-12.666666666666705</v>
      </c>
      <c r="AK5" s="97">
        <f>$R$2*'Perhitungan Cant Part'!D61</f>
        <v>143.82499999999999</v>
      </c>
      <c r="AL5" s="70">
        <f>AJ5</f>
        <v>-12.666666666666705</v>
      </c>
      <c r="AM5" s="70">
        <f>$Q$4*'Perhitungan Cant Part'!F61+$AJ5</f>
        <v>-10.500238333333371</v>
      </c>
      <c r="AN5" s="70">
        <f>$Q$4*'Perhitungan Cant Part'!G61+$AJ5</f>
        <v>-8.2316783333333703</v>
      </c>
      <c r="AO5" s="70"/>
      <c r="AP5" s="70">
        <f>$Q$4*'Perhitungan Cant Part'!I61+$AJ5</f>
        <v>-4.1089683233333698</v>
      </c>
      <c r="AR5" s="70">
        <f t="shared" si="2"/>
        <v>0</v>
      </c>
      <c r="AS5" s="70">
        <f t="shared" si="3"/>
        <v>12.5</v>
      </c>
      <c r="AT5" s="70">
        <f t="shared" si="4"/>
        <v>25</v>
      </c>
      <c r="AU5" s="70">
        <f t="shared" si="5"/>
        <v>50</v>
      </c>
      <c r="AV5" s="70">
        <f t="shared" si="6"/>
        <v>75</v>
      </c>
      <c r="AW5" s="70">
        <f t="shared" si="7"/>
        <v>100</v>
      </c>
      <c r="AX5" s="70">
        <f t="shared" si="8"/>
        <v>125</v>
      </c>
      <c r="AY5" s="70">
        <f t="shared" si="9"/>
        <v>150</v>
      </c>
      <c r="AZ5" s="70">
        <f t="shared" si="10"/>
        <v>162.5</v>
      </c>
      <c r="BA5" s="70">
        <f t="shared" si="11"/>
        <v>180</v>
      </c>
      <c r="BB5" s="70">
        <f t="shared" si="12"/>
        <v>197.5</v>
      </c>
      <c r="BC5" s="70">
        <f t="shared" si="13"/>
        <v>215.84750000000003</v>
      </c>
    </row>
    <row r="6" spans="2:55" ht="15" thickBot="1" x14ac:dyDescent="0.35">
      <c r="B6" s="69">
        <f>'Tabel Offset'!A9</f>
        <v>1</v>
      </c>
      <c r="C6" s="99">
        <v>6.9000000000000006E-2</v>
      </c>
      <c r="D6" s="26">
        <v>0</v>
      </c>
      <c r="E6" s="70">
        <f>'Perhitungan Main Part'!L8</f>
        <v>0.26101666666666667</v>
      </c>
      <c r="F6" s="70">
        <f>'Perhitungan Main Part'!X8</f>
        <v>0.98503333333333332</v>
      </c>
      <c r="G6" s="70">
        <f>'Perhitungan Main Part'!AJ8</f>
        <v>3.3985333333333334</v>
      </c>
      <c r="H6" s="70">
        <f>'Perhitungan Main Part'!AV8</f>
        <v>6.4600333333333335</v>
      </c>
      <c r="I6" s="70">
        <f>'Perhitungan Main Part'!BH8</f>
        <v>10.884033333333333</v>
      </c>
      <c r="J6" s="70">
        <f>'Perhitungan Main Part'!BT8</f>
        <v>16.449166666666667</v>
      </c>
      <c r="K6" s="70">
        <f>'Perhitungan Main Part'!CF8</f>
        <v>23.638366666666666</v>
      </c>
      <c r="L6" s="70">
        <f>'Perhitungan Main Part'!CR8</f>
        <v>27.998866666666665</v>
      </c>
      <c r="M6" s="70">
        <f>'Perhitungan Main Part'!DD8</f>
        <v>35.060490000000001</v>
      </c>
      <c r="N6" s="70">
        <f>'Perhitungan Main Part'!DP8</f>
        <v>43.268410000000003</v>
      </c>
      <c r="O6" s="70">
        <f>'Perhitungan Main Part'!ED8</f>
        <v>53.671018979999999</v>
      </c>
      <c r="Q6" s="287"/>
      <c r="R6" s="72">
        <f t="shared" si="14"/>
        <v>1</v>
      </c>
      <c r="S6" s="67">
        <f t="shared" si="18"/>
        <v>31.69</v>
      </c>
      <c r="T6" s="97">
        <f t="shared" si="15"/>
        <v>1.7250000000000001</v>
      </c>
      <c r="U6" s="70" t="str">
        <f t="shared" si="19"/>
        <v>-</v>
      </c>
      <c r="V6" s="70">
        <f t="shared" si="20"/>
        <v>31.820508333333336</v>
      </c>
      <c r="W6" s="70">
        <f t="shared" si="21"/>
        <v>32.182516666666665</v>
      </c>
      <c r="X6" s="70">
        <f t="shared" si="22"/>
        <v>33.389266666666671</v>
      </c>
      <c r="Y6" s="70">
        <f t="shared" si="23"/>
        <v>34.920016666666669</v>
      </c>
      <c r="Z6" s="70">
        <f t="shared" si="24"/>
        <v>37.132016666666665</v>
      </c>
      <c r="AA6" s="70">
        <f t="shared" si="25"/>
        <v>39.914583333333333</v>
      </c>
      <c r="AB6" s="70">
        <f t="shared" si="26"/>
        <v>43.509183333333333</v>
      </c>
      <c r="AC6" s="70">
        <f t="shared" si="27"/>
        <v>45.689433333333334</v>
      </c>
      <c r="AD6" s="70">
        <f t="shared" si="28"/>
        <v>49.220245000000006</v>
      </c>
      <c r="AE6" s="70">
        <f t="shared" si="28"/>
        <v>53.324205000000006</v>
      </c>
      <c r="AF6" s="70">
        <f t="shared" ref="AF6:AF27" si="29">O6*$Q$4+S6</f>
        <v>58.525509490000005</v>
      </c>
      <c r="AG6" s="97">
        <f>'Perhitungan Main Part'!EA8*R$2</f>
        <v>218.02250000000001</v>
      </c>
      <c r="AR6" s="70">
        <f t="shared" si="2"/>
        <v>0</v>
      </c>
      <c r="AS6" s="70">
        <f t="shared" si="3"/>
        <v>12.5</v>
      </c>
      <c r="AT6" s="70">
        <f t="shared" si="4"/>
        <v>25</v>
      </c>
      <c r="AU6" s="70">
        <f t="shared" si="5"/>
        <v>50</v>
      </c>
      <c r="AV6" s="70">
        <f t="shared" si="6"/>
        <v>75</v>
      </c>
      <c r="AW6" s="70">
        <f t="shared" si="7"/>
        <v>100</v>
      </c>
      <c r="AX6" s="70">
        <f t="shared" si="8"/>
        <v>125</v>
      </c>
      <c r="AY6" s="70">
        <f t="shared" si="9"/>
        <v>150</v>
      </c>
      <c r="AZ6" s="70">
        <f t="shared" si="10"/>
        <v>162.5</v>
      </c>
      <c r="BA6" s="70">
        <f t="shared" si="11"/>
        <v>180</v>
      </c>
      <c r="BB6" s="70">
        <f t="shared" si="12"/>
        <v>197.5</v>
      </c>
      <c r="BC6" s="70">
        <f t="shared" si="13"/>
        <v>213.64749999999998</v>
      </c>
    </row>
    <row r="7" spans="2:55" ht="15" thickBot="1" x14ac:dyDescent="0.35">
      <c r="B7" s="69">
        <f>'Tabel Offset'!A10</f>
        <v>1.5</v>
      </c>
      <c r="C7" s="99">
        <v>0</v>
      </c>
      <c r="D7" s="26">
        <v>0</v>
      </c>
      <c r="E7" s="70">
        <f>'Perhitungan Main Part'!L9</f>
        <v>0.63044999999999984</v>
      </c>
      <c r="F7" s="70">
        <f>'Perhitungan Main Part'!X9</f>
        <v>1.912633333333333</v>
      </c>
      <c r="G7" s="70">
        <f>'Perhitungan Main Part'!AJ9</f>
        <v>5.6231999999999998</v>
      </c>
      <c r="H7" s="70">
        <f>'Perhitungan Main Part'!AV9</f>
        <v>10.360266666666666</v>
      </c>
      <c r="I7" s="70">
        <f>'Perhitungan Main Part'!BH9</f>
        <v>16.583300000000001</v>
      </c>
      <c r="J7" s="70">
        <f>'Perhitungan Main Part'!BT9</f>
        <v>24.209866666666667</v>
      </c>
      <c r="K7" s="70">
        <f>'Perhitungan Main Part'!CF9</f>
        <v>33.66793333333333</v>
      </c>
      <c r="L7" s="70">
        <f>'Perhitungan Main Part'!CR9</f>
        <v>39.179749999999999</v>
      </c>
      <c r="M7" s="70">
        <f>'Perhitungan Main Part'!DD9</f>
        <v>49.627133333333333</v>
      </c>
      <c r="N7" s="70">
        <f>'Perhitungan Main Part'!DP9</f>
        <v>58.934193333333333</v>
      </c>
      <c r="O7" s="70">
        <f>'Perhitungan Main Part'!ED9</f>
        <v>68.967560403333337</v>
      </c>
      <c r="Q7" s="287"/>
      <c r="R7" s="72">
        <f t="shared" si="14"/>
        <v>1.5</v>
      </c>
      <c r="S7" s="67">
        <f t="shared" ref="S7" si="30">R7*$R$3</f>
        <v>47.535000000000004</v>
      </c>
      <c r="T7" s="97">
        <f>C7*R$2</f>
        <v>0</v>
      </c>
      <c r="U7" s="70">
        <f>IF(U$2&lt;$T7,"-",D7*$Q$4+$S7)</f>
        <v>47.535000000000004</v>
      </c>
      <c r="V7" s="70">
        <f t="shared" ref="V7" si="31">IF(V$2&lt;$T7,"-",E7*$Q$4+$S7)</f>
        <v>47.850225000000002</v>
      </c>
      <c r="W7" s="70">
        <f t="shared" ref="W7" si="32">IF(W$2&lt;$T7,"-",F7*$Q$4+$S7)</f>
        <v>48.49131666666667</v>
      </c>
      <c r="X7" s="70">
        <f t="shared" ref="X7" si="33">IF(X$2&lt;$T7,"-",G7*$Q$4+$S7)</f>
        <v>50.346600000000002</v>
      </c>
      <c r="Y7" s="70">
        <f t="shared" ref="Y7" si="34">IF(Y$2&lt;$T7,"-",H7*$Q$4+$S7)</f>
        <v>52.715133333333334</v>
      </c>
      <c r="Z7" s="70">
        <f t="shared" ref="Z7" si="35">IF(Z$2&lt;$T7,"-",I7*$Q$4+$S7)</f>
        <v>55.826650000000001</v>
      </c>
      <c r="AA7" s="70">
        <f t="shared" ref="AA7" si="36">IF(AA$2&lt;$T7,"-",J7*$Q$4+$S7)</f>
        <v>59.639933333333339</v>
      </c>
      <c r="AB7" s="70">
        <f t="shared" ref="AB7" si="37">IF(AB$2&lt;$T7,"-",K7*$Q$4+$S7)</f>
        <v>64.368966666666665</v>
      </c>
      <c r="AC7" s="70">
        <f t="shared" ref="AC7" si="38">IF(AC$2&lt;$T7,"-",L7*$Q$4+$S7)</f>
        <v>67.124875000000003</v>
      </c>
      <c r="AD7" s="70">
        <f t="shared" ref="AD7" si="39">IF(AD$2&lt;$T7,"-",M7*$Q$4+$S7)</f>
        <v>72.34856666666667</v>
      </c>
      <c r="AE7" s="70">
        <f t="shared" ref="AE7" si="40">IF(AE$2&lt;$T7,"-",N7*$Q$4+$S7)</f>
        <v>77.002096666666674</v>
      </c>
      <c r="AF7" s="70">
        <f t="shared" si="29"/>
        <v>82.018780201666672</v>
      </c>
      <c r="AG7" s="97">
        <f>'Perhitungan Main Part'!EA9*R$2</f>
        <v>215.84750000000003</v>
      </c>
      <c r="AI7" s="83" t="s">
        <v>9</v>
      </c>
      <c r="AJ7" s="81" t="s">
        <v>40</v>
      </c>
      <c r="AK7" s="82" t="str">
        <f>AJ4&amp;","&amp;AK4</f>
        <v>-25.3333333333334,157.45</v>
      </c>
      <c r="AL7" s="82" t="str">
        <f>AM4&amp;","&amp;AM$2</f>
        <v>-24.3339533333334,180</v>
      </c>
      <c r="AM7" s="82" t="str">
        <f>AN4&amp;","&amp;AN$2</f>
        <v>-22.5388733333334,197.5</v>
      </c>
      <c r="AN7" s="163" t="str">
        <f>AO4&amp;","&amp;AO$2</f>
        <v>-18.8084244800001,226.38</v>
      </c>
      <c r="AR7" s="70">
        <f t="shared" si="2"/>
        <v>0</v>
      </c>
      <c r="AS7" s="70">
        <f t="shared" si="3"/>
        <v>12.5</v>
      </c>
      <c r="AT7" s="70">
        <f t="shared" si="4"/>
        <v>25</v>
      </c>
      <c r="AU7" s="70">
        <f t="shared" si="5"/>
        <v>50</v>
      </c>
      <c r="AV7" s="70">
        <f t="shared" si="6"/>
        <v>75</v>
      </c>
      <c r="AW7" s="70">
        <f t="shared" si="7"/>
        <v>100</v>
      </c>
      <c r="AX7" s="70">
        <f t="shared" si="8"/>
        <v>125</v>
      </c>
      <c r="AY7" s="70">
        <f t="shared" si="9"/>
        <v>150</v>
      </c>
      <c r="AZ7" s="70">
        <f t="shared" si="10"/>
        <v>162.5</v>
      </c>
      <c r="BA7" s="70">
        <f t="shared" si="11"/>
        <v>180</v>
      </c>
      <c r="BB7" s="70">
        <f t="shared" si="12"/>
        <v>197.5</v>
      </c>
      <c r="BC7" s="70">
        <f t="shared" si="13"/>
        <v>209.61500000000001</v>
      </c>
    </row>
    <row r="8" spans="2:55" ht="15" thickBot="1" x14ac:dyDescent="0.35">
      <c r="B8" s="69">
        <f>'Tabel Offset'!A11</f>
        <v>2</v>
      </c>
      <c r="C8" s="99">
        <v>0</v>
      </c>
      <c r="D8" s="26">
        <v>0</v>
      </c>
      <c r="E8" s="70">
        <f>'Perhitungan Main Part'!L10</f>
        <v>0.97763333333333313</v>
      </c>
      <c r="F8" s="70">
        <f>'Perhitungan Main Part'!X10</f>
        <v>2.8219166666666666</v>
      </c>
      <c r="G8" s="70">
        <f>'Perhitungan Main Part'!AJ10</f>
        <v>8.0321833333333323</v>
      </c>
      <c r="H8" s="70">
        <f>'Perhitungan Main Part'!AV10</f>
        <v>14.598716666666665</v>
      </c>
      <c r="I8" s="70">
        <f>'Perhitungan Main Part'!BH10</f>
        <v>22.85948333333333</v>
      </c>
      <c r="J8" s="70">
        <f>'Perhitungan Main Part'!BT10</f>
        <v>32.586749999999995</v>
      </c>
      <c r="K8" s="70">
        <f>'Perhitungan Main Part'!CF10</f>
        <v>44.093516666666659</v>
      </c>
      <c r="L8" s="70">
        <f>'Perhitungan Main Part'!CR10</f>
        <v>50.531199999999991</v>
      </c>
      <c r="M8" s="70">
        <f>'Perhitungan Main Part'!DD10</f>
        <v>60.082396666666661</v>
      </c>
      <c r="N8" s="70">
        <f>'Perhitungan Main Part'!DP10</f>
        <v>70.070323333333334</v>
      </c>
      <c r="O8" s="70">
        <f>'Perhitungan Main Part'!ED10</f>
        <v>79.350463823333328</v>
      </c>
      <c r="Q8" s="287"/>
      <c r="R8" s="72">
        <f t="shared" si="14"/>
        <v>2</v>
      </c>
      <c r="S8" s="67">
        <f t="shared" si="18"/>
        <v>63.38</v>
      </c>
      <c r="T8" s="97">
        <f>C8*R$2</f>
        <v>0</v>
      </c>
      <c r="U8" s="70">
        <f>IF(U$2&lt;$T8,"-",D8*$Q$4+$S8)</f>
        <v>63.38</v>
      </c>
      <c r="V8" s="70">
        <f t="shared" si="20"/>
        <v>63.868816666666667</v>
      </c>
      <c r="W8" s="70">
        <f t="shared" si="21"/>
        <v>64.790958333333336</v>
      </c>
      <c r="X8" s="70">
        <f t="shared" si="22"/>
        <v>67.396091666666663</v>
      </c>
      <c r="Y8" s="70">
        <f t="shared" si="23"/>
        <v>70.67935833333334</v>
      </c>
      <c r="Z8" s="70">
        <f t="shared" si="24"/>
        <v>74.809741666666667</v>
      </c>
      <c r="AA8" s="70">
        <f t="shared" si="25"/>
        <v>79.673374999999993</v>
      </c>
      <c r="AB8" s="70">
        <f t="shared" si="26"/>
        <v>85.426758333333339</v>
      </c>
      <c r="AC8" s="70">
        <f t="shared" si="27"/>
        <v>88.645600000000002</v>
      </c>
      <c r="AD8" s="70">
        <f t="shared" si="28"/>
        <v>93.421198333333336</v>
      </c>
      <c r="AE8" s="70">
        <f t="shared" si="28"/>
        <v>98.415161666666677</v>
      </c>
      <c r="AF8" s="70">
        <f t="shared" si="29"/>
        <v>103.05523191166667</v>
      </c>
      <c r="AG8" s="97">
        <f>'Perhitungan Main Part'!EA10*R$2</f>
        <v>213.64749999999998</v>
      </c>
      <c r="AI8" s="83" t="s">
        <v>30</v>
      </c>
      <c r="AJ8" s="81" t="s">
        <v>40</v>
      </c>
      <c r="AK8" s="82" t="str">
        <f>AJ5&amp;","&amp;AK5</f>
        <v>-12.6666666666667,143.825</v>
      </c>
      <c r="AL8" s="82" t="str">
        <f>AM5&amp;","&amp;AM$2</f>
        <v>-10.5002383333334,180</v>
      </c>
      <c r="AM8" s="82" t="str">
        <f>AN5&amp;","&amp;AN$2</f>
        <v>-8.23167833333337,197.5</v>
      </c>
      <c r="AN8" s="163" t="str">
        <f>AP5&amp;","&amp;AP$2</f>
        <v>-4.10896832333337,224.1925</v>
      </c>
      <c r="AR8" s="70">
        <f t="shared" si="2"/>
        <v>0</v>
      </c>
      <c r="AS8" s="70">
        <f t="shared" si="3"/>
        <v>12.5</v>
      </c>
      <c r="AT8" s="70">
        <f t="shared" si="4"/>
        <v>25</v>
      </c>
      <c r="AU8" s="70">
        <f t="shared" si="5"/>
        <v>50</v>
      </c>
      <c r="AV8" s="70">
        <f t="shared" si="6"/>
        <v>75</v>
      </c>
      <c r="AW8" s="70">
        <f t="shared" si="7"/>
        <v>100</v>
      </c>
      <c r="AX8" s="70">
        <f t="shared" si="8"/>
        <v>125</v>
      </c>
      <c r="AY8" s="70">
        <f t="shared" si="9"/>
        <v>150</v>
      </c>
      <c r="AZ8" s="70">
        <f t="shared" si="10"/>
        <v>162.5</v>
      </c>
      <c r="BA8" s="70">
        <f t="shared" si="11"/>
        <v>180</v>
      </c>
      <c r="BB8" s="70">
        <f t="shared" si="12"/>
        <v>197.5</v>
      </c>
      <c r="BC8" s="70">
        <f t="shared" si="13"/>
        <v>206.9425</v>
      </c>
    </row>
    <row r="9" spans="2:55" ht="15" thickBot="1" x14ac:dyDescent="0.35">
      <c r="B9" s="69">
        <f>'Tabel Offset'!A12</f>
        <v>3</v>
      </c>
      <c r="C9" s="99">
        <v>0</v>
      </c>
      <c r="D9" s="26">
        <v>0</v>
      </c>
      <c r="E9" s="70">
        <f>'Perhitungan Main Part'!L11</f>
        <v>2.1214666666666666</v>
      </c>
      <c r="F9" s="70">
        <f>'Perhitungan Main Part'!X11</f>
        <v>5.382416666666666</v>
      </c>
      <c r="G9" s="70">
        <f>'Perhitungan Main Part'!AJ11</f>
        <v>14.460716666666666</v>
      </c>
      <c r="H9" s="70">
        <f>'Perhitungan Main Part'!AV11</f>
        <v>24.677816666666665</v>
      </c>
      <c r="I9" s="70">
        <f>'Perhitungan Main Part'!BH11</f>
        <v>36.928449999999998</v>
      </c>
      <c r="J9" s="70">
        <f>'Perhitungan Main Part'!BT11</f>
        <v>50.505649999999996</v>
      </c>
      <c r="K9" s="70">
        <f>'Perhitungan Main Part'!CF11</f>
        <v>65.197416666666669</v>
      </c>
      <c r="L9" s="70">
        <f>'Perhitungan Main Part'!CR11</f>
        <v>72.749383333333341</v>
      </c>
      <c r="M9" s="70">
        <f>'Perhitungan Main Part'!DD11</f>
        <v>83.472403333333347</v>
      </c>
      <c r="N9" s="70">
        <f>'Perhitungan Main Part'!DP11</f>
        <v>94.339950000000016</v>
      </c>
      <c r="O9" s="70">
        <f>'Perhitungan Main Part'!ED11</f>
        <v>101.76384431333335</v>
      </c>
      <c r="Q9" s="287"/>
      <c r="R9" s="72">
        <f t="shared" si="14"/>
        <v>3</v>
      </c>
      <c r="S9" s="67">
        <f t="shared" si="18"/>
        <v>95.070000000000007</v>
      </c>
      <c r="T9" s="97">
        <f t="shared" si="15"/>
        <v>0</v>
      </c>
      <c r="U9" s="70">
        <f t="shared" si="19"/>
        <v>95.070000000000007</v>
      </c>
      <c r="V9" s="70">
        <f t="shared" si="20"/>
        <v>96.130733333333339</v>
      </c>
      <c r="W9" s="70">
        <f t="shared" si="21"/>
        <v>97.761208333333343</v>
      </c>
      <c r="X9" s="70">
        <f t="shared" si="22"/>
        <v>102.30035833333334</v>
      </c>
      <c r="Y9" s="70">
        <f t="shared" si="23"/>
        <v>107.40890833333334</v>
      </c>
      <c r="Z9" s="70">
        <f t="shared" si="24"/>
        <v>113.53422500000001</v>
      </c>
      <c r="AA9" s="70">
        <f t="shared" si="25"/>
        <v>120.32282500000001</v>
      </c>
      <c r="AB9" s="70">
        <f t="shared" si="26"/>
        <v>127.66870833333334</v>
      </c>
      <c r="AC9" s="70">
        <f t="shared" si="27"/>
        <v>131.44469166666667</v>
      </c>
      <c r="AD9" s="70">
        <f t="shared" si="28"/>
        <v>136.80620166666668</v>
      </c>
      <c r="AE9" s="70">
        <f t="shared" si="28"/>
        <v>142.23997500000002</v>
      </c>
      <c r="AF9" s="70">
        <f t="shared" si="29"/>
        <v>145.95192215666668</v>
      </c>
      <c r="AG9" s="97">
        <f>'Perhitungan Main Part'!EA11*R$2</f>
        <v>209.61500000000001</v>
      </c>
      <c r="AR9" s="70">
        <f t="shared" si="2"/>
        <v>0</v>
      </c>
      <c r="AS9" s="70">
        <f t="shared" si="3"/>
        <v>12.5</v>
      </c>
      <c r="AT9" s="70">
        <f t="shared" si="4"/>
        <v>25</v>
      </c>
      <c r="AU9" s="70">
        <f t="shared" si="5"/>
        <v>50</v>
      </c>
      <c r="AV9" s="70">
        <f t="shared" si="6"/>
        <v>75</v>
      </c>
      <c r="AW9" s="70">
        <f t="shared" si="7"/>
        <v>100</v>
      </c>
      <c r="AX9" s="70">
        <f t="shared" si="8"/>
        <v>125</v>
      </c>
      <c r="AY9" s="70">
        <f t="shared" si="9"/>
        <v>150</v>
      </c>
      <c r="AZ9" s="70">
        <f t="shared" si="10"/>
        <v>162.5</v>
      </c>
      <c r="BA9" s="70">
        <f t="shared" si="11"/>
        <v>180</v>
      </c>
      <c r="BB9" s="70">
        <f t="shared" si="12"/>
        <v>197.5</v>
      </c>
      <c r="BC9" s="70">
        <f t="shared" si="13"/>
        <v>204.34</v>
      </c>
    </row>
    <row r="10" spans="2:55" ht="15" thickBot="1" x14ac:dyDescent="0.35">
      <c r="B10" s="69">
        <f>'Tabel Offset'!A13</f>
        <v>4</v>
      </c>
      <c r="C10" s="99">
        <v>0</v>
      </c>
      <c r="D10" s="26">
        <v>0</v>
      </c>
      <c r="E10" s="70">
        <f>'Perhitungan Main Part'!L12</f>
        <v>3.9852500000000006</v>
      </c>
      <c r="F10" s="70">
        <f>'Perhitungan Main Part'!X12</f>
        <v>9.5922333333333327</v>
      </c>
      <c r="G10" s="70">
        <f>'Perhitungan Main Part'!AJ12</f>
        <v>22.393233333333331</v>
      </c>
      <c r="H10" s="70">
        <f>'Perhitungan Main Part'!AV12</f>
        <v>36.155466666666662</v>
      </c>
      <c r="I10" s="70">
        <f>'Perhitungan Main Part'!BH12</f>
        <v>51.424633333333325</v>
      </c>
      <c r="J10" s="70">
        <f>'Perhitungan Main Part'!BT12</f>
        <v>67.164133333333325</v>
      </c>
      <c r="K10" s="70">
        <f>'Perhitungan Main Part'!CF12</f>
        <v>83.084699999999998</v>
      </c>
      <c r="L10" s="70">
        <f>'Perhitungan Main Part'!CR12</f>
        <v>91.082966666666664</v>
      </c>
      <c r="M10" s="70">
        <f>'Perhitungan Main Part'!DD12</f>
        <v>102.31281</v>
      </c>
      <c r="N10" s="70">
        <f>'Perhitungan Main Part'!DP12</f>
        <v>113.57487666666667</v>
      </c>
      <c r="O10" s="70">
        <f>'Perhitungan Main Part'!ED12</f>
        <v>119.53079019666666</v>
      </c>
      <c r="Q10" s="287"/>
      <c r="R10" s="72">
        <f t="shared" si="14"/>
        <v>4</v>
      </c>
      <c r="S10" s="67">
        <f t="shared" si="18"/>
        <v>126.76</v>
      </c>
      <c r="T10" s="97">
        <f t="shared" si="15"/>
        <v>0</v>
      </c>
      <c r="U10" s="70">
        <f>IF(U$2&lt;$T10,"-",D10*$Q$4+$S10)</f>
        <v>126.76</v>
      </c>
      <c r="V10" s="70">
        <f t="shared" si="20"/>
        <v>128.75262499999999</v>
      </c>
      <c r="W10" s="70">
        <f t="shared" si="21"/>
        <v>131.55611666666667</v>
      </c>
      <c r="X10" s="70">
        <f t="shared" si="22"/>
        <v>137.95661666666666</v>
      </c>
      <c r="Y10" s="70">
        <f t="shared" si="23"/>
        <v>144.83773333333335</v>
      </c>
      <c r="Z10" s="70">
        <f t="shared" si="24"/>
        <v>152.47231666666667</v>
      </c>
      <c r="AA10" s="70">
        <f t="shared" si="25"/>
        <v>160.34206666666665</v>
      </c>
      <c r="AB10" s="70">
        <f t="shared" si="26"/>
        <v>168.30234999999999</v>
      </c>
      <c r="AC10" s="70">
        <f t="shared" si="27"/>
        <v>172.30148333333335</v>
      </c>
      <c r="AD10" s="70">
        <f t="shared" si="28"/>
        <v>177.916405</v>
      </c>
      <c r="AE10" s="70">
        <f t="shared" si="28"/>
        <v>183.54743833333333</v>
      </c>
      <c r="AF10" s="70">
        <f t="shared" si="29"/>
        <v>186.52539509833332</v>
      </c>
      <c r="AG10" s="97">
        <f>'Perhitungan Main Part'!EA12*R$2</f>
        <v>206.9425</v>
      </c>
      <c r="AI10" s="83" t="s">
        <v>9</v>
      </c>
      <c r="AJ10" s="81" t="s">
        <v>82</v>
      </c>
      <c r="AK10" s="82" t="str">
        <f>AJ4&amp;","&amp;AK4</f>
        <v>-25.3333333333334,157.45</v>
      </c>
      <c r="AL10" s="82" t="str">
        <f>$AJ4&amp;","&amp;AM$2</f>
        <v>-25.3333333333334,180</v>
      </c>
      <c r="AM10" s="82" t="str">
        <f>$AJ4&amp;","&amp;AN$2</f>
        <v>-25.3333333333334,197.5</v>
      </c>
      <c r="AN10" s="84" t="str">
        <f>$AJ4&amp;","&amp;AO$2</f>
        <v>-25.3333333333334,226.38</v>
      </c>
      <c r="AR10" s="70">
        <f t="shared" si="2"/>
        <v>0</v>
      </c>
      <c r="AS10" s="70">
        <f t="shared" si="3"/>
        <v>12.5</v>
      </c>
      <c r="AT10" s="70">
        <f t="shared" si="4"/>
        <v>25</v>
      </c>
      <c r="AU10" s="70">
        <f t="shared" si="5"/>
        <v>50</v>
      </c>
      <c r="AV10" s="70">
        <f t="shared" si="6"/>
        <v>75</v>
      </c>
      <c r="AW10" s="70">
        <f t="shared" si="7"/>
        <v>100</v>
      </c>
      <c r="AX10" s="70">
        <f t="shared" si="8"/>
        <v>125</v>
      </c>
      <c r="AY10" s="70">
        <f t="shared" si="9"/>
        <v>150</v>
      </c>
      <c r="AZ10" s="70">
        <f t="shared" si="10"/>
        <v>162.5</v>
      </c>
      <c r="BA10" s="70">
        <f t="shared" si="11"/>
        <v>180</v>
      </c>
      <c r="BB10" s="70">
        <f t="shared" si="12"/>
        <v>197.5</v>
      </c>
      <c r="BC10" s="70">
        <f t="shared" si="13"/>
        <v>201.77</v>
      </c>
    </row>
    <row r="11" spans="2:55" ht="15" thickBot="1" x14ac:dyDescent="0.35">
      <c r="B11" s="69">
        <f>'Tabel Offset'!A14</f>
        <v>5</v>
      </c>
      <c r="C11" s="99">
        <v>0</v>
      </c>
      <c r="D11" s="26">
        <v>0</v>
      </c>
      <c r="E11" s="70">
        <f>'Perhitungan Main Part'!L13</f>
        <v>5.7001999999999997</v>
      </c>
      <c r="F11" s="70">
        <f>'Perhitungan Main Part'!X13</f>
        <v>12.606533333333333</v>
      </c>
      <c r="G11" s="70">
        <f>'Perhitungan Main Part'!AJ13</f>
        <v>27.962599999999998</v>
      </c>
      <c r="H11" s="70">
        <f>'Perhitungan Main Part'!AV13</f>
        <v>43.772599999999997</v>
      </c>
      <c r="I11" s="70">
        <f>'Perhitungan Main Part'!BH13</f>
        <v>59.952133333333329</v>
      </c>
      <c r="J11" s="70">
        <f>'Perhitungan Main Part'!BT13</f>
        <v>76.180733333333336</v>
      </c>
      <c r="K11" s="70">
        <f>'Perhitungan Main Part'!CF13</f>
        <v>92.426966666666672</v>
      </c>
      <c r="L11" s="70">
        <f>'Perhitungan Main Part'!CR13</f>
        <v>100.55456666666667</v>
      </c>
      <c r="M11" s="70">
        <f>'Perhitungan Main Part'!DD13</f>
        <v>111.93722000000001</v>
      </c>
      <c r="N11" s="70">
        <f>'Perhitungan Main Part'!DP13</f>
        <v>123.32365333333335</v>
      </c>
      <c r="O11" s="70">
        <f>'Perhitungan Main Part'!ED13</f>
        <v>127.67778757333336</v>
      </c>
      <c r="Q11" s="287"/>
      <c r="R11" s="72">
        <f t="shared" si="14"/>
        <v>5</v>
      </c>
      <c r="S11" s="67">
        <f t="shared" si="18"/>
        <v>158.45000000000002</v>
      </c>
      <c r="T11" s="97">
        <f t="shared" si="15"/>
        <v>0</v>
      </c>
      <c r="U11" s="70">
        <f t="shared" si="19"/>
        <v>158.45000000000002</v>
      </c>
      <c r="V11" s="70">
        <f t="shared" si="20"/>
        <v>161.30010000000001</v>
      </c>
      <c r="W11" s="70">
        <f t="shared" si="21"/>
        <v>164.75326666666669</v>
      </c>
      <c r="X11" s="70">
        <f t="shared" si="22"/>
        <v>172.43130000000002</v>
      </c>
      <c r="Y11" s="70">
        <f t="shared" si="23"/>
        <v>180.33630000000002</v>
      </c>
      <c r="Z11" s="70">
        <f t="shared" si="24"/>
        <v>188.42606666666669</v>
      </c>
      <c r="AA11" s="70">
        <f t="shared" si="25"/>
        <v>196.54036666666667</v>
      </c>
      <c r="AB11" s="70">
        <f t="shared" si="26"/>
        <v>204.66348333333335</v>
      </c>
      <c r="AC11" s="70">
        <f t="shared" si="27"/>
        <v>208.72728333333336</v>
      </c>
      <c r="AD11" s="70">
        <f t="shared" si="28"/>
        <v>214.41861000000003</v>
      </c>
      <c r="AE11" s="70">
        <f t="shared" si="28"/>
        <v>220.1118266666667</v>
      </c>
      <c r="AF11" s="70">
        <f t="shared" si="29"/>
        <v>222.2888937866667</v>
      </c>
      <c r="AG11" s="97">
        <f>'Perhitungan Main Part'!EA13*R$2</f>
        <v>204.34</v>
      </c>
      <c r="AI11" s="83" t="s">
        <v>30</v>
      </c>
      <c r="AJ11" s="81" t="s">
        <v>82</v>
      </c>
      <c r="AK11" s="82" t="str">
        <f>AJ5&amp;","&amp;AK5</f>
        <v>-12.6666666666667,143.825</v>
      </c>
      <c r="AL11" s="82" t="str">
        <f>$AJ5&amp;","&amp;AM$2</f>
        <v>-12.6666666666667,180</v>
      </c>
      <c r="AM11" s="82" t="str">
        <f>$AJ5&amp;","&amp;AN$2</f>
        <v>-12.6666666666667,197.5</v>
      </c>
      <c r="AN11" s="84" t="str">
        <f>$AJ5&amp;","&amp;AP$2</f>
        <v>-12.6666666666667,224.1925</v>
      </c>
      <c r="AR11" s="70">
        <f t="shared" si="2"/>
        <v>0</v>
      </c>
      <c r="AS11" s="70">
        <f t="shared" si="3"/>
        <v>12.5</v>
      </c>
      <c r="AT11" s="70">
        <f t="shared" si="4"/>
        <v>25</v>
      </c>
      <c r="AU11" s="70">
        <f t="shared" si="5"/>
        <v>50</v>
      </c>
      <c r="AV11" s="70">
        <f t="shared" si="6"/>
        <v>75</v>
      </c>
      <c r="AW11" s="70">
        <f t="shared" si="7"/>
        <v>100</v>
      </c>
      <c r="AX11" s="70">
        <f t="shared" si="8"/>
        <v>125</v>
      </c>
      <c r="AY11" s="70">
        <f t="shared" si="9"/>
        <v>150</v>
      </c>
      <c r="AZ11" s="70">
        <f t="shared" si="10"/>
        <v>162.5</v>
      </c>
      <c r="BA11" s="70">
        <f t="shared" si="11"/>
        <v>180</v>
      </c>
      <c r="BB11" s="70">
        <f t="shared" si="12"/>
        <v>197.5</v>
      </c>
      <c r="BC11" s="70">
        <f t="shared" si="13"/>
        <v>200.36</v>
      </c>
    </row>
    <row r="12" spans="2:55" ht="15" thickBot="1" x14ac:dyDescent="0.35">
      <c r="B12" s="69">
        <f>'Tabel Offset'!A15</f>
        <v>6</v>
      </c>
      <c r="C12" s="99">
        <v>0</v>
      </c>
      <c r="D12" s="26">
        <v>0</v>
      </c>
      <c r="E12" s="70">
        <f>'Perhitungan Main Part'!L14</f>
        <v>6.7695333333333334</v>
      </c>
      <c r="F12" s="70">
        <f>'Perhitungan Main Part'!X14</f>
        <v>14.671566666666667</v>
      </c>
      <c r="G12" s="70">
        <f>'Perhitungan Main Part'!AJ14</f>
        <v>30.845333333333333</v>
      </c>
      <c r="H12" s="70">
        <f>'Perhitungan Main Part'!AV14</f>
        <v>47.082700000000003</v>
      </c>
      <c r="I12" s="70">
        <f>'Perhitungan Main Part'!BH14</f>
        <v>63.365366666666667</v>
      </c>
      <c r="J12" s="70">
        <f>'Perhitungan Main Part'!BT14</f>
        <v>79.650499999999994</v>
      </c>
      <c r="K12" s="70">
        <f>'Perhitungan Main Part'!CF14</f>
        <v>95.937333333333328</v>
      </c>
      <c r="L12" s="70">
        <f>'Perhitungan Main Part'!CR14</f>
        <v>104.0813</v>
      </c>
      <c r="M12" s="70">
        <f>'Perhitungan Main Part'!DD14</f>
        <v>115.4829</v>
      </c>
      <c r="N12" s="70">
        <f>'Perhitungan Main Part'!DP14</f>
        <v>126.8845</v>
      </c>
      <c r="O12" s="70">
        <f>'Perhitungan Main Part'!ED14</f>
        <v>129.60807679999999</v>
      </c>
      <c r="Q12" s="287"/>
      <c r="R12" s="72">
        <f t="shared" si="14"/>
        <v>6</v>
      </c>
      <c r="S12" s="67">
        <f t="shared" si="18"/>
        <v>190.14000000000001</v>
      </c>
      <c r="T12" s="97">
        <f t="shared" si="15"/>
        <v>0</v>
      </c>
      <c r="U12" s="70">
        <f t="shared" si="19"/>
        <v>190.14000000000001</v>
      </c>
      <c r="V12" s="70">
        <f t="shared" si="20"/>
        <v>193.52476666666669</v>
      </c>
      <c r="W12" s="70">
        <f t="shared" si="21"/>
        <v>197.47578333333334</v>
      </c>
      <c r="X12" s="70">
        <f t="shared" si="22"/>
        <v>205.56266666666667</v>
      </c>
      <c r="Y12" s="70">
        <f t="shared" si="23"/>
        <v>213.68135000000001</v>
      </c>
      <c r="Z12" s="70">
        <f t="shared" si="24"/>
        <v>221.82268333333334</v>
      </c>
      <c r="AA12" s="70">
        <f t="shared" si="25"/>
        <v>229.96525000000003</v>
      </c>
      <c r="AB12" s="70">
        <f t="shared" si="26"/>
        <v>238.10866666666669</v>
      </c>
      <c r="AC12" s="70">
        <f t="shared" si="27"/>
        <v>242.18065000000001</v>
      </c>
      <c r="AD12" s="70">
        <f t="shared" si="28"/>
        <v>247.88145000000003</v>
      </c>
      <c r="AE12" s="70">
        <f t="shared" si="28"/>
        <v>253.58225000000002</v>
      </c>
      <c r="AF12" s="70">
        <f t="shared" si="29"/>
        <v>254.94403840000001</v>
      </c>
      <c r="AG12" s="97">
        <f>'Perhitungan Main Part'!EA14*R$2</f>
        <v>201.77</v>
      </c>
      <c r="AI12" s="68" t="s">
        <v>62</v>
      </c>
      <c r="AJ12" s="82"/>
      <c r="AR12" s="70">
        <f t="shared" si="2"/>
        <v>0</v>
      </c>
      <c r="AS12" s="70">
        <f t="shared" si="3"/>
        <v>12.5</v>
      </c>
      <c r="AT12" s="70">
        <f t="shared" si="4"/>
        <v>25</v>
      </c>
      <c r="AU12" s="70">
        <f t="shared" si="5"/>
        <v>50</v>
      </c>
      <c r="AV12" s="70">
        <f t="shared" si="6"/>
        <v>75</v>
      </c>
      <c r="AW12" s="70">
        <f t="shared" si="7"/>
        <v>100</v>
      </c>
      <c r="AX12" s="70">
        <f t="shared" si="8"/>
        <v>125</v>
      </c>
      <c r="AY12" s="70">
        <f t="shared" si="9"/>
        <v>150</v>
      </c>
      <c r="AZ12" s="70">
        <f t="shared" si="10"/>
        <v>162.5</v>
      </c>
      <c r="BA12" s="70">
        <f t="shared" si="11"/>
        <v>180</v>
      </c>
      <c r="BB12" s="70">
        <f t="shared" si="12"/>
        <v>197.5</v>
      </c>
      <c r="BC12" s="70">
        <f t="shared" si="13"/>
        <v>199.3125</v>
      </c>
    </row>
    <row r="13" spans="2:55" ht="15" thickBot="1" x14ac:dyDescent="0.35">
      <c r="B13" s="69">
        <f>'Tabel Offset'!A16</f>
        <v>7</v>
      </c>
      <c r="C13" s="99">
        <v>0</v>
      </c>
      <c r="D13" s="26">
        <v>0</v>
      </c>
      <c r="E13" s="70">
        <f>'Perhitungan Main Part'!L15</f>
        <v>7.6478666666666664</v>
      </c>
      <c r="F13" s="70">
        <f>'Perhitungan Main Part'!X15</f>
        <v>15.686116666666667</v>
      </c>
      <c r="G13" s="70">
        <f>'Perhitungan Main Part'!AJ15</f>
        <v>31.947583333333331</v>
      </c>
      <c r="H13" s="70">
        <f>'Perhitungan Main Part'!AV15</f>
        <v>48.231049999999996</v>
      </c>
      <c r="I13" s="70">
        <f>'Perhitungan Main Part'!BH15</f>
        <v>64.519049999999993</v>
      </c>
      <c r="J13" s="70">
        <f>'Perhitungan Main Part'!BT15</f>
        <v>80.80704999999999</v>
      </c>
      <c r="K13" s="70">
        <f>'Perhitungan Main Part'!CF15</f>
        <v>97.095049999999986</v>
      </c>
      <c r="L13" s="70">
        <f>'Perhitungan Main Part'!CR15</f>
        <v>105.23904999999999</v>
      </c>
      <c r="M13" s="70">
        <f>'Perhitungan Main Part'!DD15</f>
        <v>116.64064999999999</v>
      </c>
      <c r="N13" s="70">
        <f>'Perhitungan Main Part'!DP15</f>
        <v>128.04225</v>
      </c>
      <c r="O13" s="70">
        <f>'Perhitungan Main Part'!ED15</f>
        <v>129.86834093333331</v>
      </c>
      <c r="Q13" s="287"/>
      <c r="R13" s="72">
        <f t="shared" si="14"/>
        <v>7</v>
      </c>
      <c r="S13" s="67">
        <f t="shared" si="18"/>
        <v>221.83</v>
      </c>
      <c r="T13" s="97">
        <f t="shared" si="15"/>
        <v>0</v>
      </c>
      <c r="U13" s="70">
        <f t="shared" si="19"/>
        <v>221.83</v>
      </c>
      <c r="V13" s="70">
        <f t="shared" si="20"/>
        <v>225.65393333333336</v>
      </c>
      <c r="W13" s="70">
        <f t="shared" si="21"/>
        <v>229.67305833333336</v>
      </c>
      <c r="X13" s="70">
        <f t="shared" si="22"/>
        <v>237.80379166666668</v>
      </c>
      <c r="Y13" s="70">
        <f t="shared" si="23"/>
        <v>245.945525</v>
      </c>
      <c r="Z13" s="70">
        <f t="shared" si="24"/>
        <v>254.08952500000001</v>
      </c>
      <c r="AA13" s="70">
        <f t="shared" si="25"/>
        <v>262.23352499999999</v>
      </c>
      <c r="AB13" s="70">
        <f t="shared" si="26"/>
        <v>270.37752499999999</v>
      </c>
      <c r="AC13" s="70">
        <f t="shared" si="27"/>
        <v>274.44952499999999</v>
      </c>
      <c r="AD13" s="70">
        <f t="shared" si="28"/>
        <v>280.15032500000001</v>
      </c>
      <c r="AE13" s="70">
        <f t="shared" si="28"/>
        <v>285.85112500000002</v>
      </c>
      <c r="AF13" s="70">
        <f t="shared" si="29"/>
        <v>286.76417046666666</v>
      </c>
      <c r="AG13" s="97">
        <f>'Perhitungan Main Part'!EA15*R$2</f>
        <v>200.36</v>
      </c>
      <c r="AI13" s="83" t="s">
        <v>9</v>
      </c>
      <c r="AJ13" s="81" t="s">
        <v>46</v>
      </c>
      <c r="AK13" s="82" t="str">
        <f>AJ4&amp;","&amp;AN2</f>
        <v>-25.3333333333334,197.5</v>
      </c>
      <c r="AL13" s="91" t="str">
        <f>AN4&amp;","&amp;AN2</f>
        <v>-22.5388733333334,197.5</v>
      </c>
      <c r="AM13" s="91"/>
      <c r="AR13" s="70">
        <f t="shared" si="2"/>
        <v>0</v>
      </c>
      <c r="AS13" s="70">
        <f t="shared" si="3"/>
        <v>12.5</v>
      </c>
      <c r="AT13" s="70">
        <f t="shared" si="4"/>
        <v>25</v>
      </c>
      <c r="AU13" s="70">
        <f t="shared" si="5"/>
        <v>50</v>
      </c>
      <c r="AV13" s="70">
        <f t="shared" si="6"/>
        <v>75</v>
      </c>
      <c r="AW13" s="70">
        <f t="shared" si="7"/>
        <v>100</v>
      </c>
      <c r="AX13" s="70">
        <f t="shared" si="8"/>
        <v>125</v>
      </c>
      <c r="AY13" s="70">
        <f t="shared" si="9"/>
        <v>150</v>
      </c>
      <c r="AZ13" s="70">
        <f t="shared" si="10"/>
        <v>162.5</v>
      </c>
      <c r="BA13" s="70">
        <f t="shared" si="11"/>
        <v>180</v>
      </c>
      <c r="BB13" s="70">
        <f t="shared" si="12"/>
        <v>197.5</v>
      </c>
      <c r="BC13" s="70">
        <f t="shared" si="13"/>
        <v>198.4975</v>
      </c>
    </row>
    <row r="14" spans="2:55" ht="15" thickBot="1" x14ac:dyDescent="0.35">
      <c r="B14" s="69">
        <f>'Tabel Offset'!A17</f>
        <v>8</v>
      </c>
      <c r="C14" s="99">
        <v>0</v>
      </c>
      <c r="D14" s="26">
        <v>0</v>
      </c>
      <c r="E14" s="70">
        <f>'Perhitungan Main Part'!L16</f>
        <v>7.8819333333333326</v>
      </c>
      <c r="F14" s="70">
        <f>'Perhitungan Main Part'!X16</f>
        <v>16.025933333333331</v>
      </c>
      <c r="G14" s="70">
        <f>'Perhitungan Main Part'!AJ16</f>
        <v>32.313933333333324</v>
      </c>
      <c r="H14" s="70">
        <f>'Perhitungan Main Part'!AV16</f>
        <v>48.601933333333321</v>
      </c>
      <c r="I14" s="70">
        <f>'Perhitungan Main Part'!BH16</f>
        <v>64.889933333333317</v>
      </c>
      <c r="J14" s="70">
        <f>'Perhitungan Main Part'!BT16</f>
        <v>81.177933333333314</v>
      </c>
      <c r="K14" s="70">
        <f>'Perhitungan Main Part'!CF16</f>
        <v>97.465933333333311</v>
      </c>
      <c r="L14" s="70">
        <f>'Perhitungan Main Part'!CR16</f>
        <v>105.60993333333332</v>
      </c>
      <c r="M14" s="70">
        <f>'Perhitungan Main Part'!DD16</f>
        <v>117.01153333333332</v>
      </c>
      <c r="N14" s="70">
        <f>'Perhitungan Main Part'!DP16</f>
        <v>128.41313333333332</v>
      </c>
      <c r="O14" s="70">
        <f>'Perhitungan Main Part'!ED16</f>
        <v>129.57148999999998</v>
      </c>
      <c r="Q14" s="287"/>
      <c r="R14" s="72">
        <f t="shared" si="14"/>
        <v>8</v>
      </c>
      <c r="S14" s="67">
        <f t="shared" si="18"/>
        <v>253.52</v>
      </c>
      <c r="T14" s="97">
        <f t="shared" si="15"/>
        <v>0</v>
      </c>
      <c r="U14" s="70">
        <f t="shared" si="19"/>
        <v>253.52</v>
      </c>
      <c r="V14" s="70">
        <f t="shared" si="20"/>
        <v>257.46096666666665</v>
      </c>
      <c r="W14" s="70">
        <f t="shared" si="21"/>
        <v>261.53296666666665</v>
      </c>
      <c r="X14" s="70">
        <f t="shared" si="22"/>
        <v>269.67696666666666</v>
      </c>
      <c r="Y14" s="70">
        <f t="shared" si="23"/>
        <v>277.82096666666666</v>
      </c>
      <c r="Z14" s="70">
        <f t="shared" si="24"/>
        <v>285.96496666666667</v>
      </c>
      <c r="AA14" s="70">
        <f t="shared" si="25"/>
        <v>294.10896666666667</v>
      </c>
      <c r="AB14" s="70">
        <f t="shared" si="26"/>
        <v>302.25296666666668</v>
      </c>
      <c r="AC14" s="70">
        <f t="shared" si="27"/>
        <v>306.32496666666668</v>
      </c>
      <c r="AD14" s="70">
        <f t="shared" si="28"/>
        <v>312.02576666666664</v>
      </c>
      <c r="AE14" s="70">
        <f t="shared" si="28"/>
        <v>317.72656666666666</v>
      </c>
      <c r="AF14" s="70">
        <f t="shared" si="29"/>
        <v>318.305745</v>
      </c>
      <c r="AG14" s="97">
        <f>'Perhitungan Main Part'!EA16*R$2</f>
        <v>199.3125</v>
      </c>
      <c r="AI14" s="83" t="s">
        <v>30</v>
      </c>
      <c r="AJ14" s="81" t="s">
        <v>46</v>
      </c>
      <c r="AK14" s="82" t="str">
        <f>AJ5&amp;","&amp;AN2</f>
        <v>-12.6666666666667,197.5</v>
      </c>
      <c r="AL14" s="91" t="str">
        <f>AN5&amp;","&amp;AN2</f>
        <v>-8.23167833333337,197.5</v>
      </c>
      <c r="AM14" s="91"/>
      <c r="AR14" s="70">
        <f t="shared" si="2"/>
        <v>0</v>
      </c>
      <c r="AS14" s="70">
        <f t="shared" si="3"/>
        <v>12.5</v>
      </c>
      <c r="AT14" s="70">
        <f t="shared" si="4"/>
        <v>25</v>
      </c>
      <c r="AU14" s="70">
        <f t="shared" si="5"/>
        <v>50</v>
      </c>
      <c r="AV14" s="70">
        <f t="shared" si="6"/>
        <v>75</v>
      </c>
      <c r="AW14" s="70">
        <f t="shared" si="7"/>
        <v>100</v>
      </c>
      <c r="AX14" s="70">
        <f t="shared" si="8"/>
        <v>125</v>
      </c>
      <c r="AY14" s="70">
        <f t="shared" si="9"/>
        <v>150</v>
      </c>
      <c r="AZ14" s="70">
        <f t="shared" si="10"/>
        <v>162.5</v>
      </c>
      <c r="BA14" s="70">
        <f t="shared" si="11"/>
        <v>180</v>
      </c>
      <c r="BB14" s="70">
        <f t="shared" si="12"/>
        <v>197.5</v>
      </c>
      <c r="BC14" s="70">
        <f t="shared" si="13"/>
        <v>198.17000000000002</v>
      </c>
    </row>
    <row r="15" spans="2:55" ht="15" thickBot="1" x14ac:dyDescent="0.35">
      <c r="B15" s="69">
        <f>'Tabel Offset'!A18</f>
        <v>9</v>
      </c>
      <c r="C15" s="99">
        <v>0</v>
      </c>
      <c r="D15" s="26">
        <v>0</v>
      </c>
      <c r="E15" s="70">
        <f>'Perhitungan Main Part'!L17</f>
        <v>7.8819333333333326</v>
      </c>
      <c r="F15" s="70">
        <f>'Perhitungan Main Part'!X17</f>
        <v>16.025933333333331</v>
      </c>
      <c r="G15" s="70">
        <f>'Perhitungan Main Part'!AJ17</f>
        <v>32.313933333333324</v>
      </c>
      <c r="H15" s="70">
        <f>'Perhitungan Main Part'!AV17</f>
        <v>48.601933333333321</v>
      </c>
      <c r="I15" s="70">
        <f>'Perhitungan Main Part'!BH17</f>
        <v>64.889933333333317</v>
      </c>
      <c r="J15" s="70">
        <f>'Perhitungan Main Part'!BT17</f>
        <v>81.177933333333314</v>
      </c>
      <c r="K15" s="70">
        <f>'Perhitungan Main Part'!CF17</f>
        <v>97.465933333333311</v>
      </c>
      <c r="L15" s="70">
        <f>'Perhitungan Main Part'!CR17</f>
        <v>105.60993333333332</v>
      </c>
      <c r="M15" s="70">
        <f>'Perhitungan Main Part'!DD17</f>
        <v>117.01153333333332</v>
      </c>
      <c r="N15" s="70">
        <f>'Perhitungan Main Part'!DP17</f>
        <v>128.41313333333332</v>
      </c>
      <c r="O15" s="70">
        <f>'Perhitungan Main Part'!ED17</f>
        <v>129.0507752333333</v>
      </c>
      <c r="Q15" s="287"/>
      <c r="R15" s="72">
        <f t="shared" si="14"/>
        <v>9</v>
      </c>
      <c r="S15" s="67">
        <f t="shared" si="18"/>
        <v>285.21000000000004</v>
      </c>
      <c r="T15" s="97">
        <f t="shared" si="15"/>
        <v>0</v>
      </c>
      <c r="U15" s="70">
        <f t="shared" si="19"/>
        <v>285.21000000000004</v>
      </c>
      <c r="V15" s="70">
        <f t="shared" si="20"/>
        <v>289.1509666666667</v>
      </c>
      <c r="W15" s="70">
        <f t="shared" si="21"/>
        <v>293.22296666666671</v>
      </c>
      <c r="X15" s="70">
        <f t="shared" si="22"/>
        <v>301.36696666666671</v>
      </c>
      <c r="Y15" s="70">
        <f t="shared" si="23"/>
        <v>309.51096666666672</v>
      </c>
      <c r="Z15" s="70">
        <f t="shared" si="24"/>
        <v>317.65496666666672</v>
      </c>
      <c r="AA15" s="70">
        <f t="shared" si="25"/>
        <v>325.79896666666667</v>
      </c>
      <c r="AB15" s="70">
        <f t="shared" si="26"/>
        <v>333.94296666666668</v>
      </c>
      <c r="AC15" s="70">
        <f t="shared" si="27"/>
        <v>338.01496666666668</v>
      </c>
      <c r="AD15" s="70">
        <f t="shared" si="28"/>
        <v>343.7157666666667</v>
      </c>
      <c r="AE15" s="70">
        <f t="shared" si="28"/>
        <v>349.41656666666671</v>
      </c>
      <c r="AF15" s="70">
        <f t="shared" si="29"/>
        <v>349.73538761666669</v>
      </c>
      <c r="AG15" s="97">
        <f>'Perhitungan Main Part'!EA17*R$2</f>
        <v>198.4975</v>
      </c>
      <c r="AI15" s="68" t="s">
        <v>63</v>
      </c>
      <c r="AR15" s="70">
        <f t="shared" si="2"/>
        <v>0</v>
      </c>
      <c r="AS15" s="70">
        <f t="shared" si="3"/>
        <v>12.5</v>
      </c>
      <c r="AT15" s="70">
        <f t="shared" si="4"/>
        <v>25</v>
      </c>
      <c r="AU15" s="70">
        <f t="shared" si="5"/>
        <v>50</v>
      </c>
      <c r="AV15" s="70">
        <f t="shared" si="6"/>
        <v>75</v>
      </c>
      <c r="AW15" s="70">
        <f t="shared" si="7"/>
        <v>100</v>
      </c>
      <c r="AX15" s="70">
        <f t="shared" si="8"/>
        <v>125</v>
      </c>
      <c r="AY15" s="70">
        <f t="shared" si="9"/>
        <v>150</v>
      </c>
      <c r="AZ15" s="70">
        <f t="shared" si="10"/>
        <v>162.5</v>
      </c>
      <c r="BA15" s="70">
        <f t="shared" si="11"/>
        <v>180</v>
      </c>
      <c r="BB15" s="70">
        <f t="shared" si="12"/>
        <v>197.5</v>
      </c>
      <c r="BC15" s="70">
        <f t="shared" si="13"/>
        <v>198.5325</v>
      </c>
    </row>
    <row r="16" spans="2:55" ht="15" thickBot="1" x14ac:dyDescent="0.35">
      <c r="B16" s="69">
        <f>'Tabel Offset'!A19</f>
        <v>10</v>
      </c>
      <c r="C16" s="99">
        <v>0</v>
      </c>
      <c r="D16" s="26">
        <v>0</v>
      </c>
      <c r="E16" s="70">
        <f>'Perhitungan Main Part'!L18</f>
        <v>7.8819333333333326</v>
      </c>
      <c r="F16" s="70">
        <f>'Perhitungan Main Part'!X18</f>
        <v>16.025933333333331</v>
      </c>
      <c r="G16" s="70">
        <f>'Perhitungan Main Part'!AJ18</f>
        <v>32.313933333333324</v>
      </c>
      <c r="H16" s="70">
        <f>'Perhitungan Main Part'!AV18</f>
        <v>48.601933333333321</v>
      </c>
      <c r="I16" s="70">
        <f>'Perhitungan Main Part'!BH18</f>
        <v>64.889933333333317</v>
      </c>
      <c r="J16" s="70">
        <f>'Perhitungan Main Part'!BT18</f>
        <v>81.177933333333314</v>
      </c>
      <c r="K16" s="70">
        <f>'Perhitungan Main Part'!CF18</f>
        <v>97.465933333333311</v>
      </c>
      <c r="L16" s="70">
        <f>'Perhitungan Main Part'!CR18</f>
        <v>105.60993333333332</v>
      </c>
      <c r="M16" s="70">
        <f>'Perhitungan Main Part'!DD18</f>
        <v>117.01153333333332</v>
      </c>
      <c r="N16" s="70">
        <f>'Perhitungan Main Part'!DP18</f>
        <v>128.41313333333332</v>
      </c>
      <c r="O16" s="70">
        <f>'Perhitungan Main Part'!ED18</f>
        <v>128.84142413333331</v>
      </c>
      <c r="Q16" s="287"/>
      <c r="R16" s="72">
        <f t="shared" si="14"/>
        <v>10</v>
      </c>
      <c r="S16" s="67">
        <f t="shared" si="18"/>
        <v>316.90000000000003</v>
      </c>
      <c r="T16" s="97">
        <f t="shared" si="15"/>
        <v>0</v>
      </c>
      <c r="U16" s="70">
        <f t="shared" si="19"/>
        <v>316.90000000000003</v>
      </c>
      <c r="V16" s="70">
        <f t="shared" si="20"/>
        <v>320.8409666666667</v>
      </c>
      <c r="W16" s="70">
        <f t="shared" si="21"/>
        <v>324.9129666666667</v>
      </c>
      <c r="X16" s="70">
        <f t="shared" si="22"/>
        <v>333.05696666666671</v>
      </c>
      <c r="Y16" s="70">
        <f t="shared" si="23"/>
        <v>341.20096666666672</v>
      </c>
      <c r="Z16" s="70">
        <f t="shared" si="24"/>
        <v>349.34496666666666</v>
      </c>
      <c r="AA16" s="70">
        <f t="shared" si="25"/>
        <v>357.48896666666667</v>
      </c>
      <c r="AB16" s="70">
        <f t="shared" si="26"/>
        <v>365.63296666666668</v>
      </c>
      <c r="AC16" s="70">
        <f t="shared" si="27"/>
        <v>369.70496666666668</v>
      </c>
      <c r="AD16" s="70">
        <f t="shared" si="28"/>
        <v>375.40576666666669</v>
      </c>
      <c r="AE16" s="70">
        <f t="shared" si="28"/>
        <v>381.10656666666671</v>
      </c>
      <c r="AF16" s="70">
        <f t="shared" si="29"/>
        <v>381.32071206666672</v>
      </c>
      <c r="AG16" s="97">
        <f>'Perhitungan Main Part'!EA18*R$2</f>
        <v>198.17000000000002</v>
      </c>
      <c r="AI16" s="167" t="s">
        <v>9</v>
      </c>
      <c r="AJ16" s="81" t="s">
        <v>40</v>
      </c>
      <c r="AK16" s="163" t="str">
        <f>AJ4&amp;","&amp;AO2</f>
        <v>-25.3333333333334,226.38</v>
      </c>
      <c r="AL16" s="84" t="str">
        <f>AO4&amp;","&amp;AO2</f>
        <v>-18.8084244800001,226.38</v>
      </c>
      <c r="AM16" s="84"/>
      <c r="AR16" s="70">
        <f t="shared" si="2"/>
        <v>0</v>
      </c>
      <c r="AS16" s="70">
        <f t="shared" si="3"/>
        <v>12.5</v>
      </c>
      <c r="AT16" s="70">
        <f t="shared" si="4"/>
        <v>25</v>
      </c>
      <c r="AU16" s="70">
        <f t="shared" si="5"/>
        <v>50</v>
      </c>
      <c r="AV16" s="70">
        <f t="shared" si="6"/>
        <v>75</v>
      </c>
      <c r="AW16" s="70">
        <f t="shared" si="7"/>
        <v>100</v>
      </c>
      <c r="AX16" s="70">
        <f t="shared" si="8"/>
        <v>125</v>
      </c>
      <c r="AY16" s="70">
        <f t="shared" si="9"/>
        <v>150</v>
      </c>
      <c r="AZ16" s="70">
        <f t="shared" si="10"/>
        <v>162.5</v>
      </c>
      <c r="BA16" s="70">
        <f t="shared" si="11"/>
        <v>180</v>
      </c>
      <c r="BB16" s="70">
        <f t="shared" si="12"/>
        <v>197.5</v>
      </c>
      <c r="BC16" s="70">
        <f t="shared" si="13"/>
        <v>201.10499999999999</v>
      </c>
    </row>
    <row r="17" spans="2:56" ht="15" thickBot="1" x14ac:dyDescent="0.35">
      <c r="B17" s="69">
        <f>'Tabel Offset'!A20</f>
        <v>11</v>
      </c>
      <c r="C17" s="99">
        <v>0</v>
      </c>
      <c r="D17" s="26">
        <v>0</v>
      </c>
      <c r="E17" s="70">
        <f>'Perhitungan Main Part'!L19</f>
        <v>7.8819333333333326</v>
      </c>
      <c r="F17" s="70">
        <f>'Perhitungan Main Part'!X19</f>
        <v>16.025933333333331</v>
      </c>
      <c r="G17" s="70">
        <f>'Perhitungan Main Part'!AJ19</f>
        <v>32.313933333333324</v>
      </c>
      <c r="H17" s="70">
        <f>'Perhitungan Main Part'!AV19</f>
        <v>48.601933333333321</v>
      </c>
      <c r="I17" s="70">
        <f>'Perhitungan Main Part'!BH19</f>
        <v>64.889933333333317</v>
      </c>
      <c r="J17" s="70">
        <f>'Perhitungan Main Part'!BT19</f>
        <v>81.177933333333314</v>
      </c>
      <c r="K17" s="70">
        <f>'Perhitungan Main Part'!CF19</f>
        <v>97.465933333333311</v>
      </c>
      <c r="L17" s="70">
        <f>'Perhitungan Main Part'!CR19</f>
        <v>105.60993333333332</v>
      </c>
      <c r="M17" s="70">
        <f>'Perhitungan Main Part'!DD19</f>
        <v>117.01153333333332</v>
      </c>
      <c r="N17" s="70">
        <f>'Perhitungan Main Part'!DP19</f>
        <v>128.41313333333332</v>
      </c>
      <c r="O17" s="70">
        <f>'Perhitungan Main Part'!ED19</f>
        <v>129.07314863333332</v>
      </c>
      <c r="Q17" s="287"/>
      <c r="R17" s="72">
        <f t="shared" si="14"/>
        <v>11</v>
      </c>
      <c r="S17" s="67">
        <f t="shared" si="18"/>
        <v>348.59000000000003</v>
      </c>
      <c r="T17" s="97">
        <f t="shared" si="15"/>
        <v>0</v>
      </c>
      <c r="U17" s="70">
        <f t="shared" si="19"/>
        <v>348.59000000000003</v>
      </c>
      <c r="V17" s="70">
        <f t="shared" si="20"/>
        <v>352.5309666666667</v>
      </c>
      <c r="W17" s="70">
        <f t="shared" si="21"/>
        <v>356.6029666666667</v>
      </c>
      <c r="X17" s="70">
        <f t="shared" si="22"/>
        <v>364.74696666666671</v>
      </c>
      <c r="Y17" s="70">
        <f t="shared" si="23"/>
        <v>372.89096666666671</v>
      </c>
      <c r="Z17" s="70">
        <f t="shared" si="24"/>
        <v>381.03496666666672</v>
      </c>
      <c r="AA17" s="70">
        <f t="shared" si="25"/>
        <v>389.17896666666667</v>
      </c>
      <c r="AB17" s="70">
        <f t="shared" si="26"/>
        <v>397.32296666666667</v>
      </c>
      <c r="AC17" s="70">
        <f t="shared" si="27"/>
        <v>401.39496666666668</v>
      </c>
      <c r="AD17" s="70">
        <f t="shared" si="28"/>
        <v>407.09576666666669</v>
      </c>
      <c r="AE17" s="70">
        <f t="shared" si="28"/>
        <v>412.79656666666671</v>
      </c>
      <c r="AF17" s="70">
        <f t="shared" si="29"/>
        <v>413.12657431666668</v>
      </c>
      <c r="AG17" s="97">
        <f>'Perhitungan Main Part'!EA19*R$2</f>
        <v>198.5325</v>
      </c>
      <c r="AI17" s="167" t="s">
        <v>30</v>
      </c>
      <c r="AJ17" s="81" t="s">
        <v>40</v>
      </c>
      <c r="AK17" s="163" t="str">
        <f>AJ5&amp;","&amp;AP2</f>
        <v>-12.6666666666667,224.1925</v>
      </c>
      <c r="AL17" s="84" t="str">
        <f>AP5&amp;","&amp;AP2</f>
        <v>-4.10896832333337,224.1925</v>
      </c>
      <c r="AM17" s="84"/>
      <c r="AR17" s="70">
        <f t="shared" si="2"/>
        <v>0</v>
      </c>
      <c r="AS17" s="70">
        <f t="shared" si="3"/>
        <v>12.5</v>
      </c>
      <c r="AT17" s="70">
        <f t="shared" si="4"/>
        <v>25</v>
      </c>
      <c r="AU17" s="70">
        <f t="shared" si="5"/>
        <v>50</v>
      </c>
      <c r="AV17" s="70">
        <f t="shared" si="6"/>
        <v>75</v>
      </c>
      <c r="AW17" s="70">
        <f t="shared" si="7"/>
        <v>100</v>
      </c>
      <c r="AX17" s="70">
        <f t="shared" si="8"/>
        <v>125</v>
      </c>
      <c r="AY17" s="70">
        <f t="shared" si="9"/>
        <v>150</v>
      </c>
      <c r="AZ17" s="70">
        <f t="shared" si="10"/>
        <v>162.5</v>
      </c>
      <c r="BA17" s="70">
        <f t="shared" si="11"/>
        <v>180</v>
      </c>
      <c r="BB17" s="70">
        <f t="shared" si="12"/>
        <v>197.5</v>
      </c>
      <c r="BC17" s="70">
        <f t="shared" si="13"/>
        <v>204.70500000000001</v>
      </c>
    </row>
    <row r="18" spans="2:56" x14ac:dyDescent="0.3">
      <c r="B18" s="69">
        <f>'Tabel Offset'!A21</f>
        <v>12</v>
      </c>
      <c r="C18" s="99">
        <v>0</v>
      </c>
      <c r="D18" s="26">
        <v>0</v>
      </c>
      <c r="E18" s="70">
        <f>'Perhitungan Main Part'!L20</f>
        <v>7.8819333333333326</v>
      </c>
      <c r="F18" s="70">
        <f>'Perhitungan Main Part'!X20</f>
        <v>16.025933333333331</v>
      </c>
      <c r="G18" s="70">
        <f>'Perhitungan Main Part'!AJ20</f>
        <v>32.313933333333324</v>
      </c>
      <c r="H18" s="70">
        <f>'Perhitungan Main Part'!AV20</f>
        <v>48.601933333333321</v>
      </c>
      <c r="I18" s="70">
        <f>'Perhitungan Main Part'!BH20</f>
        <v>64.889933333333317</v>
      </c>
      <c r="J18" s="70">
        <f>'Perhitungan Main Part'!BT20</f>
        <v>81.177933333333314</v>
      </c>
      <c r="K18" s="70">
        <f>'Perhitungan Main Part'!CF20</f>
        <v>97.465933333333311</v>
      </c>
      <c r="L18" s="70">
        <f>'Perhitungan Main Part'!CR20</f>
        <v>105.60993333333332</v>
      </c>
      <c r="M18" s="70">
        <f>'Perhitungan Main Part'!DD20</f>
        <v>117.01153333333332</v>
      </c>
      <c r="N18" s="70">
        <f>'Perhitungan Main Part'!DP20</f>
        <v>128.41313333333332</v>
      </c>
      <c r="O18" s="70">
        <f>'Perhitungan Main Part'!ED20</f>
        <v>130.71754546666665</v>
      </c>
      <c r="Q18" s="287"/>
      <c r="R18" s="72">
        <f t="shared" si="14"/>
        <v>12</v>
      </c>
      <c r="S18" s="67">
        <f t="shared" si="18"/>
        <v>380.28000000000003</v>
      </c>
      <c r="T18" s="97">
        <f>C18*R$2</f>
        <v>0</v>
      </c>
      <c r="U18" s="70">
        <f t="shared" si="19"/>
        <v>380.28000000000003</v>
      </c>
      <c r="V18" s="70">
        <f t="shared" si="20"/>
        <v>384.2209666666667</v>
      </c>
      <c r="W18" s="70">
        <f t="shared" si="21"/>
        <v>388.2929666666667</v>
      </c>
      <c r="X18" s="70">
        <f t="shared" si="22"/>
        <v>396.43696666666671</v>
      </c>
      <c r="Y18" s="70">
        <f t="shared" si="23"/>
        <v>404.58096666666671</v>
      </c>
      <c r="Z18" s="70">
        <f t="shared" si="24"/>
        <v>412.72496666666666</v>
      </c>
      <c r="AA18" s="70">
        <f t="shared" si="25"/>
        <v>420.86896666666667</v>
      </c>
      <c r="AB18" s="70">
        <f t="shared" si="26"/>
        <v>429.01296666666667</v>
      </c>
      <c r="AC18" s="70">
        <f t="shared" si="27"/>
        <v>433.08496666666667</v>
      </c>
      <c r="AD18" s="70">
        <f t="shared" si="28"/>
        <v>438.78576666666669</v>
      </c>
      <c r="AE18" s="70">
        <f t="shared" si="28"/>
        <v>444.4865666666667</v>
      </c>
      <c r="AF18" s="70">
        <f t="shared" si="29"/>
        <v>445.63877273333333</v>
      </c>
      <c r="AG18" s="97">
        <f>'Perhitungan Main Part'!EA20*R$2</f>
        <v>201.10499999999999</v>
      </c>
      <c r="AR18" s="70">
        <f t="shared" si="2"/>
        <v>0</v>
      </c>
      <c r="AS18" s="70">
        <f t="shared" si="3"/>
        <v>12.5</v>
      </c>
      <c r="AT18" s="70">
        <f t="shared" si="4"/>
        <v>25</v>
      </c>
      <c r="AU18" s="70">
        <f t="shared" si="5"/>
        <v>50</v>
      </c>
      <c r="AV18" s="70">
        <f t="shared" si="6"/>
        <v>75</v>
      </c>
      <c r="AW18" s="70">
        <f t="shared" si="7"/>
        <v>100</v>
      </c>
      <c r="AX18" s="70">
        <f t="shared" si="8"/>
        <v>125</v>
      </c>
      <c r="AY18" s="70">
        <f t="shared" si="9"/>
        <v>150</v>
      </c>
      <c r="AZ18" s="70">
        <f t="shared" si="10"/>
        <v>162.5</v>
      </c>
      <c r="BA18" s="70">
        <f t="shared" si="11"/>
        <v>180</v>
      </c>
      <c r="BB18" s="70">
        <f t="shared" si="12"/>
        <v>197.5</v>
      </c>
      <c r="BC18" s="70">
        <f t="shared" si="13"/>
        <v>209.85499999999999</v>
      </c>
    </row>
    <row r="19" spans="2:56" x14ac:dyDescent="0.3">
      <c r="B19" s="69">
        <f>'Tabel Offset'!A22</f>
        <v>13</v>
      </c>
      <c r="C19" s="99">
        <v>0</v>
      </c>
      <c r="D19" s="26">
        <v>0</v>
      </c>
      <c r="E19" s="70">
        <f>'Perhitungan Main Part'!L21</f>
        <v>7.9278333333333331</v>
      </c>
      <c r="F19" s="70">
        <f>'Perhitungan Main Part'!X21</f>
        <v>16.071833333333331</v>
      </c>
      <c r="G19" s="70">
        <f>'Perhitungan Main Part'!AJ21</f>
        <v>32.359833333333327</v>
      </c>
      <c r="H19" s="70">
        <f>'Perhitungan Main Part'!AV21</f>
        <v>48.647833333333324</v>
      </c>
      <c r="I19" s="70">
        <f>'Perhitungan Main Part'!BH21</f>
        <v>64.935833333333321</v>
      </c>
      <c r="J19" s="70">
        <f>'Perhitungan Main Part'!BT21</f>
        <v>81.223833333333317</v>
      </c>
      <c r="K19" s="70">
        <f>'Perhitungan Main Part'!CF21</f>
        <v>97.511833333333314</v>
      </c>
      <c r="L19" s="70">
        <f>'Perhitungan Main Part'!CR21</f>
        <v>105.65583333333331</v>
      </c>
      <c r="M19" s="70">
        <f>'Perhitungan Main Part'!DD21</f>
        <v>117.05743333333331</v>
      </c>
      <c r="N19" s="70">
        <f>'Perhitungan Main Part'!DP21</f>
        <v>128.45903333333331</v>
      </c>
      <c r="O19" s="70">
        <f>'Perhitungan Main Part'!ED21</f>
        <v>133.06389293333331</v>
      </c>
      <c r="Q19" s="287"/>
      <c r="R19" s="72">
        <f t="shared" si="14"/>
        <v>13</v>
      </c>
      <c r="S19" s="67">
        <f t="shared" si="18"/>
        <v>411.97</v>
      </c>
      <c r="T19" s="97">
        <f t="shared" si="15"/>
        <v>0</v>
      </c>
      <c r="U19" s="70">
        <f t="shared" si="19"/>
        <v>411.97</v>
      </c>
      <c r="V19" s="70">
        <f t="shared" si="20"/>
        <v>415.93391666666668</v>
      </c>
      <c r="W19" s="70">
        <f t="shared" si="21"/>
        <v>420.00591666666668</v>
      </c>
      <c r="X19" s="70">
        <f t="shared" si="22"/>
        <v>428.14991666666668</v>
      </c>
      <c r="Y19" s="70">
        <f t="shared" si="23"/>
        <v>436.29391666666669</v>
      </c>
      <c r="Z19" s="70">
        <f t="shared" si="24"/>
        <v>444.43791666666669</v>
      </c>
      <c r="AA19" s="70">
        <f t="shared" si="25"/>
        <v>452.5819166666667</v>
      </c>
      <c r="AB19" s="70">
        <f t="shared" si="26"/>
        <v>460.72591666666671</v>
      </c>
      <c r="AC19" s="70">
        <f t="shared" si="27"/>
        <v>464.79791666666665</v>
      </c>
      <c r="AD19" s="70">
        <f t="shared" si="28"/>
        <v>470.49871666666667</v>
      </c>
      <c r="AE19" s="70">
        <f t="shared" si="28"/>
        <v>476.19951666666668</v>
      </c>
      <c r="AF19" s="70">
        <f t="shared" si="29"/>
        <v>478.50194646666671</v>
      </c>
      <c r="AG19" s="97">
        <f>'Perhitungan Main Part'!EA21*R$2</f>
        <v>204.70500000000001</v>
      </c>
      <c r="AR19" s="70">
        <f t="shared" si="2"/>
        <v>0</v>
      </c>
      <c r="AS19" s="70">
        <f t="shared" si="3"/>
        <v>12.5</v>
      </c>
      <c r="AT19" s="70">
        <f t="shared" si="4"/>
        <v>25</v>
      </c>
      <c r="AU19" s="70">
        <f t="shared" si="5"/>
        <v>50</v>
      </c>
      <c r="AV19" s="70">
        <f t="shared" si="6"/>
        <v>75</v>
      </c>
      <c r="AW19" s="70">
        <f t="shared" si="7"/>
        <v>100</v>
      </c>
      <c r="AX19" s="70">
        <f t="shared" si="8"/>
        <v>125</v>
      </c>
      <c r="AY19" s="70">
        <f t="shared" si="9"/>
        <v>150</v>
      </c>
      <c r="AZ19" s="70">
        <f t="shared" si="10"/>
        <v>162.5</v>
      </c>
      <c r="BA19" s="70">
        <f t="shared" si="11"/>
        <v>180</v>
      </c>
      <c r="BB19" s="70">
        <f t="shared" si="12"/>
        <v>197.5</v>
      </c>
      <c r="BC19" s="70">
        <f t="shared" si="13"/>
        <v>215.04249999999999</v>
      </c>
    </row>
    <row r="20" spans="2:56" x14ac:dyDescent="0.3">
      <c r="B20" s="69">
        <f>'Tabel Offset'!A23</f>
        <v>14</v>
      </c>
      <c r="C20" s="99">
        <v>0</v>
      </c>
      <c r="D20" s="26">
        <v>0</v>
      </c>
      <c r="E20" s="70">
        <f>'Perhitungan Main Part'!L22</f>
        <v>7.6647666666666669</v>
      </c>
      <c r="F20" s="70">
        <f>'Perhitungan Main Part'!X22</f>
        <v>15.741099999999999</v>
      </c>
      <c r="G20" s="70">
        <f>'Perhitungan Main Part'!AJ22</f>
        <v>31.998866666666661</v>
      </c>
      <c r="H20" s="70">
        <f>'Perhitungan Main Part'!AV22</f>
        <v>48.28073333333333</v>
      </c>
      <c r="I20" s="70">
        <f>'Perhitungan Main Part'!BH22</f>
        <v>64.568566666666669</v>
      </c>
      <c r="J20" s="70">
        <f>'Perhitungan Main Part'!BT22</f>
        <v>80.856566666666666</v>
      </c>
      <c r="K20" s="70">
        <f>'Perhitungan Main Part'!CF22</f>
        <v>97.144566666666663</v>
      </c>
      <c r="L20" s="70">
        <f>'Perhitungan Main Part'!CR22</f>
        <v>105.28856666666667</v>
      </c>
      <c r="M20" s="70">
        <f>'Perhitungan Main Part'!DD22</f>
        <v>116.69016666666667</v>
      </c>
      <c r="N20" s="70">
        <f>'Perhitungan Main Part'!DP22</f>
        <v>128.09176666666667</v>
      </c>
      <c r="O20" s="70">
        <f>'Perhitungan Main Part'!ED22</f>
        <v>135.98282280000001</v>
      </c>
      <c r="Q20" s="287"/>
      <c r="R20" s="72">
        <f t="shared" si="14"/>
        <v>14</v>
      </c>
      <c r="S20" s="67">
        <f t="shared" si="18"/>
        <v>443.66</v>
      </c>
      <c r="T20" s="97">
        <f t="shared" si="15"/>
        <v>0</v>
      </c>
      <c r="U20" s="70">
        <f t="shared" si="19"/>
        <v>443.66</v>
      </c>
      <c r="V20" s="70">
        <f t="shared" si="20"/>
        <v>447.49238333333335</v>
      </c>
      <c r="W20" s="70">
        <f t="shared" si="21"/>
        <v>451.53055000000001</v>
      </c>
      <c r="X20" s="70">
        <f t="shared" si="22"/>
        <v>459.65943333333337</v>
      </c>
      <c r="Y20" s="70">
        <f t="shared" si="23"/>
        <v>467.80036666666672</v>
      </c>
      <c r="Z20" s="70">
        <f t="shared" si="24"/>
        <v>475.94428333333337</v>
      </c>
      <c r="AA20" s="70">
        <f t="shared" si="25"/>
        <v>484.08828333333338</v>
      </c>
      <c r="AB20" s="70">
        <f t="shared" si="26"/>
        <v>492.23228333333338</v>
      </c>
      <c r="AC20" s="70">
        <f t="shared" si="27"/>
        <v>496.30428333333339</v>
      </c>
      <c r="AD20" s="70">
        <f t="shared" ref="AD20:AE28" si="41">IF(AD$2&lt;$T20,"-",M20*$Q$4+$S20)</f>
        <v>502.00508333333335</v>
      </c>
      <c r="AE20" s="70">
        <f t="shared" si="41"/>
        <v>507.70588333333336</v>
      </c>
      <c r="AF20" s="70">
        <f t="shared" si="29"/>
        <v>511.65141140000003</v>
      </c>
      <c r="AG20" s="97">
        <f>'Perhitungan Main Part'!EA22*R$2</f>
        <v>209.85499999999999</v>
      </c>
      <c r="AR20" s="70">
        <f t="shared" si="2"/>
        <v>0</v>
      </c>
      <c r="AS20" s="70">
        <f t="shared" si="3"/>
        <v>12.5</v>
      </c>
      <c r="AT20" s="70">
        <f t="shared" si="4"/>
        <v>25</v>
      </c>
      <c r="AU20" s="70">
        <f t="shared" si="5"/>
        <v>50</v>
      </c>
      <c r="AV20" s="70">
        <f t="shared" si="6"/>
        <v>75</v>
      </c>
      <c r="AW20" s="70">
        <f t="shared" si="7"/>
        <v>100</v>
      </c>
      <c r="AX20" s="70">
        <f t="shared" si="8"/>
        <v>125</v>
      </c>
      <c r="AY20" s="70">
        <f t="shared" si="9"/>
        <v>150</v>
      </c>
      <c r="AZ20" s="70">
        <f t="shared" si="10"/>
        <v>162.5</v>
      </c>
      <c r="BA20" s="70">
        <f t="shared" si="11"/>
        <v>180</v>
      </c>
      <c r="BB20" s="70">
        <f t="shared" si="12"/>
        <v>197.5</v>
      </c>
      <c r="BC20" s="70">
        <f t="shared" si="13"/>
        <v>220.28500000000003</v>
      </c>
    </row>
    <row r="21" spans="2:56" x14ac:dyDescent="0.3">
      <c r="B21" s="69">
        <f>'Tabel Offset'!A24</f>
        <v>15</v>
      </c>
      <c r="C21" s="99">
        <v>0</v>
      </c>
      <c r="D21" s="26">
        <v>0</v>
      </c>
      <c r="E21" s="70">
        <f>'Perhitungan Main Part'!L23</f>
        <v>7.1053166666666669</v>
      </c>
      <c r="F21" s="70">
        <f>'Perhitungan Main Part'!X23</f>
        <v>14.888399999999999</v>
      </c>
      <c r="G21" s="70">
        <f>'Perhitungan Main Part'!AJ23</f>
        <v>30.680833333333332</v>
      </c>
      <c r="H21" s="70">
        <f>'Perhitungan Main Part'!AV23</f>
        <v>46.620666666666665</v>
      </c>
      <c r="I21" s="70">
        <f>'Perhitungan Main Part'!BH23</f>
        <v>62.670599999999993</v>
      </c>
      <c r="J21" s="70">
        <f>'Perhitungan Main Part'!BT23</f>
        <v>78.812533333333334</v>
      </c>
      <c r="K21" s="70">
        <f>'Perhitungan Main Part'!CF23</f>
        <v>95.017066666666665</v>
      </c>
      <c r="L21" s="70">
        <f>'Perhitungan Main Part'!CR23</f>
        <v>103.13338333333333</v>
      </c>
      <c r="M21" s="70">
        <f>'Perhitungan Main Part'!DD23</f>
        <v>114.50670333333333</v>
      </c>
      <c r="N21" s="70">
        <f>'Perhitungan Main Part'!DP23</f>
        <v>125.88900666666667</v>
      </c>
      <c r="O21" s="70">
        <f>'Perhitungan Main Part'!ED23</f>
        <v>137.05522893666665</v>
      </c>
      <c r="Q21" s="287"/>
      <c r="R21" s="72">
        <f t="shared" si="14"/>
        <v>15</v>
      </c>
      <c r="S21" s="67">
        <f t="shared" si="18"/>
        <v>475.35</v>
      </c>
      <c r="T21" s="97">
        <f t="shared" si="15"/>
        <v>0</v>
      </c>
      <c r="U21" s="70">
        <f t="shared" si="19"/>
        <v>475.35</v>
      </c>
      <c r="V21" s="70">
        <f t="shared" si="20"/>
        <v>478.90265833333336</v>
      </c>
      <c r="W21" s="70">
        <f t="shared" si="21"/>
        <v>482.79420000000005</v>
      </c>
      <c r="X21" s="70">
        <f t="shared" si="22"/>
        <v>490.69041666666669</v>
      </c>
      <c r="Y21" s="70">
        <f t="shared" si="23"/>
        <v>498.66033333333337</v>
      </c>
      <c r="Z21" s="70">
        <f t="shared" si="24"/>
        <v>506.68530000000004</v>
      </c>
      <c r="AA21" s="70">
        <f t="shared" si="25"/>
        <v>514.75626666666665</v>
      </c>
      <c r="AB21" s="70">
        <f t="shared" si="26"/>
        <v>522.8585333333333</v>
      </c>
      <c r="AC21" s="70">
        <f t="shared" si="27"/>
        <v>526.91669166666668</v>
      </c>
      <c r="AD21" s="70">
        <f t="shared" si="41"/>
        <v>532.60335166666664</v>
      </c>
      <c r="AE21" s="70">
        <f t="shared" si="41"/>
        <v>538.29450333333341</v>
      </c>
      <c r="AF21" s="70">
        <f t="shared" si="29"/>
        <v>543.87761446833338</v>
      </c>
      <c r="AG21" s="97">
        <f>'Perhitungan Main Part'!EA23*R$2</f>
        <v>215.04249999999999</v>
      </c>
      <c r="AR21" s="70">
        <f t="shared" si="2"/>
        <v>0</v>
      </c>
      <c r="AS21" s="70">
        <f t="shared" si="3"/>
        <v>12.5</v>
      </c>
      <c r="AT21" s="70">
        <f t="shared" si="4"/>
        <v>25</v>
      </c>
      <c r="AU21" s="70">
        <f t="shared" si="5"/>
        <v>50</v>
      </c>
      <c r="AV21" s="70">
        <f t="shared" si="6"/>
        <v>75</v>
      </c>
      <c r="AW21" s="70">
        <f t="shared" si="7"/>
        <v>100</v>
      </c>
      <c r="AX21" s="70">
        <f t="shared" si="8"/>
        <v>125</v>
      </c>
      <c r="AY21" s="70">
        <f t="shared" si="9"/>
        <v>150</v>
      </c>
      <c r="AZ21" s="70">
        <f t="shared" si="10"/>
        <v>162.5</v>
      </c>
      <c r="BA21" s="70">
        <f t="shared" si="11"/>
        <v>180</v>
      </c>
      <c r="BB21" s="70">
        <f t="shared" si="12"/>
        <v>197.5</v>
      </c>
      <c r="BC21" s="70">
        <f t="shared" si="13"/>
        <v>227.22500000000002</v>
      </c>
    </row>
    <row r="22" spans="2:56" x14ac:dyDescent="0.3">
      <c r="B22" s="69">
        <f>'Tabel Offset'!A25</f>
        <v>16</v>
      </c>
      <c r="C22" s="99">
        <v>0</v>
      </c>
      <c r="D22" s="26">
        <v>0</v>
      </c>
      <c r="E22" s="70">
        <f>'Perhitungan Main Part'!L24</f>
        <v>6.4313833333333337</v>
      </c>
      <c r="F22" s="70">
        <f>'Perhitungan Main Part'!X24</f>
        <v>13.588916666666666</v>
      </c>
      <c r="G22" s="70">
        <f>'Perhitungan Main Part'!AJ24</f>
        <v>28.475383333333333</v>
      </c>
      <c r="H22" s="70">
        <f>'Perhitungan Main Part'!AV24</f>
        <v>43.66961666666667</v>
      </c>
      <c r="I22" s="70">
        <f>'Perhitungan Main Part'!BH24</f>
        <v>59.069283333333331</v>
      </c>
      <c r="J22" s="70">
        <f>'Perhitungan Main Part'!BT24</f>
        <v>74.650649999999999</v>
      </c>
      <c r="K22" s="70">
        <f>'Perhitungan Main Part'!CF24</f>
        <v>90.400949999999995</v>
      </c>
      <c r="L22" s="70">
        <f>'Perhitungan Main Part'!CR24</f>
        <v>98.333483333333334</v>
      </c>
      <c r="M22" s="70">
        <f>'Perhitungan Main Part'!DD24</f>
        <v>109.48343333333334</v>
      </c>
      <c r="N22" s="70">
        <f>'Perhitungan Main Part'!DP24</f>
        <v>120.68042333333334</v>
      </c>
      <c r="O22" s="70">
        <f>'Perhitungan Main Part'!ED24</f>
        <v>134.93149905333334</v>
      </c>
      <c r="Q22" s="287"/>
      <c r="R22" s="72">
        <f t="shared" si="14"/>
        <v>16</v>
      </c>
      <c r="S22" s="67">
        <f t="shared" si="18"/>
        <v>507.04</v>
      </c>
      <c r="T22" s="97">
        <f t="shared" si="15"/>
        <v>0</v>
      </c>
      <c r="U22" s="70">
        <f t="shared" si="19"/>
        <v>507.04</v>
      </c>
      <c r="V22" s="70">
        <f t="shared" si="20"/>
        <v>510.25569166666668</v>
      </c>
      <c r="W22" s="70">
        <f t="shared" si="21"/>
        <v>513.83445833333337</v>
      </c>
      <c r="X22" s="70">
        <f t="shared" si="22"/>
        <v>521.27769166666667</v>
      </c>
      <c r="Y22" s="70">
        <f t="shared" si="23"/>
        <v>528.87480833333336</v>
      </c>
      <c r="Z22" s="70">
        <f t="shared" si="24"/>
        <v>536.57464166666671</v>
      </c>
      <c r="AA22" s="70">
        <f t="shared" si="25"/>
        <v>544.36532499999998</v>
      </c>
      <c r="AB22" s="70">
        <f t="shared" si="26"/>
        <v>552.24047500000006</v>
      </c>
      <c r="AC22" s="70">
        <f t="shared" si="27"/>
        <v>556.20674166666663</v>
      </c>
      <c r="AD22" s="70">
        <f t="shared" si="41"/>
        <v>561.78171666666674</v>
      </c>
      <c r="AE22" s="70">
        <f t="shared" si="41"/>
        <v>567.3802116666667</v>
      </c>
      <c r="AF22" s="70">
        <f t="shared" si="29"/>
        <v>574.5057495266667</v>
      </c>
      <c r="AG22" s="97">
        <f>'Perhitungan Main Part'!EA24*R$2</f>
        <v>220.28500000000003</v>
      </c>
      <c r="AR22" s="70">
        <f t="shared" si="2"/>
        <v>0</v>
      </c>
      <c r="AS22" s="70">
        <f t="shared" si="3"/>
        <v>12.5</v>
      </c>
      <c r="AT22" s="70">
        <f t="shared" si="4"/>
        <v>25</v>
      </c>
      <c r="AU22" s="70">
        <f t="shared" si="5"/>
        <v>50</v>
      </c>
      <c r="AV22" s="70">
        <f t="shared" si="6"/>
        <v>75</v>
      </c>
      <c r="AW22" s="70">
        <f t="shared" si="7"/>
        <v>100</v>
      </c>
      <c r="AX22" s="70">
        <f t="shared" si="8"/>
        <v>125</v>
      </c>
      <c r="AY22" s="70">
        <f t="shared" si="9"/>
        <v>150</v>
      </c>
      <c r="AZ22" s="70">
        <f t="shared" si="10"/>
        <v>162.5</v>
      </c>
      <c r="BA22" s="70">
        <f t="shared" si="11"/>
        <v>180</v>
      </c>
      <c r="BB22" s="70">
        <f t="shared" si="12"/>
        <v>197.5</v>
      </c>
      <c r="BC22" s="70">
        <f t="shared" si="13"/>
        <v>234.71</v>
      </c>
    </row>
    <row r="23" spans="2:56" x14ac:dyDescent="0.3">
      <c r="B23" s="69">
        <f>'Tabel Offset'!A26</f>
        <v>17</v>
      </c>
      <c r="C23" s="99">
        <v>0</v>
      </c>
      <c r="D23" s="26">
        <v>0</v>
      </c>
      <c r="E23" s="70">
        <f>'Perhitungan Main Part'!L25</f>
        <v>5.5233500000000006</v>
      </c>
      <c r="F23" s="70">
        <f>'Perhitungan Main Part'!X25</f>
        <v>11.955566666666666</v>
      </c>
      <c r="G23" s="70">
        <f>'Perhitungan Main Part'!AJ25</f>
        <v>25.248633333333334</v>
      </c>
      <c r="H23" s="70">
        <f>'Perhitungan Main Part'!AV25</f>
        <v>39.04206666666667</v>
      </c>
      <c r="I23" s="70">
        <f>'Perhitungan Main Part'!BH25</f>
        <v>53.206466666666671</v>
      </c>
      <c r="J23" s="70">
        <f>'Perhitungan Main Part'!BT25</f>
        <v>67.648899999999998</v>
      </c>
      <c r="K23" s="70">
        <f>'Perhitungan Main Part'!CF25</f>
        <v>82.318799999999996</v>
      </c>
      <c r="L23" s="70">
        <f>'Perhitungan Main Part'!CR25</f>
        <v>89.728849999999994</v>
      </c>
      <c r="M23" s="70">
        <f>'Perhitungan Main Part'!DD25</f>
        <v>100.17793666666667</v>
      </c>
      <c r="N23" s="70">
        <f>'Perhitungan Main Part'!DP25</f>
        <v>110.70675333333334</v>
      </c>
      <c r="O23" s="70">
        <f>'Perhitungan Main Part'!ED25</f>
        <v>128.17708703333335</v>
      </c>
      <c r="Q23" s="287"/>
      <c r="R23" s="72">
        <f t="shared" si="14"/>
        <v>17</v>
      </c>
      <c r="S23" s="67">
        <f t="shared" si="18"/>
        <v>538.73</v>
      </c>
      <c r="T23" s="97">
        <f t="shared" si="15"/>
        <v>0</v>
      </c>
      <c r="U23" s="70">
        <f t="shared" si="19"/>
        <v>538.73</v>
      </c>
      <c r="V23" s="70">
        <f t="shared" si="20"/>
        <v>541.49167499999999</v>
      </c>
      <c r="W23" s="70">
        <f t="shared" si="21"/>
        <v>544.7077833333334</v>
      </c>
      <c r="X23" s="70">
        <f t="shared" si="22"/>
        <v>551.3543166666667</v>
      </c>
      <c r="Y23" s="70">
        <f t="shared" si="23"/>
        <v>558.25103333333334</v>
      </c>
      <c r="Z23" s="70">
        <f t="shared" si="24"/>
        <v>565.3332333333334</v>
      </c>
      <c r="AA23" s="70">
        <f t="shared" si="25"/>
        <v>572.55444999999997</v>
      </c>
      <c r="AB23" s="70">
        <f t="shared" si="26"/>
        <v>579.88940000000002</v>
      </c>
      <c r="AC23" s="70">
        <f t="shared" si="27"/>
        <v>583.594425</v>
      </c>
      <c r="AD23" s="70">
        <f t="shared" si="41"/>
        <v>588.81896833333337</v>
      </c>
      <c r="AE23" s="70">
        <f t="shared" si="41"/>
        <v>594.08337666666671</v>
      </c>
      <c r="AF23" s="70">
        <f t="shared" si="29"/>
        <v>602.81854351666675</v>
      </c>
      <c r="AG23" s="97">
        <f>'Perhitungan Main Part'!EA25*R$2</f>
        <v>227.22500000000002</v>
      </c>
      <c r="AR23" s="70">
        <f t="shared" si="2"/>
        <v>0</v>
      </c>
      <c r="AS23" s="70">
        <f t="shared" si="3"/>
        <v>12.5</v>
      </c>
      <c r="AT23" s="70">
        <f t="shared" si="4"/>
        <v>25</v>
      </c>
      <c r="AU23" s="70">
        <f t="shared" si="5"/>
        <v>50</v>
      </c>
      <c r="AV23" s="70">
        <f t="shared" si="6"/>
        <v>75</v>
      </c>
      <c r="AW23" s="70">
        <f t="shared" si="7"/>
        <v>100</v>
      </c>
      <c r="AX23" s="70">
        <f t="shared" si="8"/>
        <v>125</v>
      </c>
      <c r="AY23" s="70">
        <f t="shared" si="9"/>
        <v>150</v>
      </c>
      <c r="AZ23" s="70">
        <f t="shared" si="10"/>
        <v>162.5</v>
      </c>
      <c r="BA23" s="70">
        <f t="shared" si="11"/>
        <v>180</v>
      </c>
      <c r="BB23" s="70">
        <f t="shared" si="12"/>
        <v>197.5</v>
      </c>
      <c r="BC23" s="70">
        <f t="shared" si="13"/>
        <v>238.45999999999998</v>
      </c>
    </row>
    <row r="24" spans="2:56" x14ac:dyDescent="0.3">
      <c r="B24" s="69">
        <f>'Tabel Offset'!A27</f>
        <v>18</v>
      </c>
      <c r="C24" s="99">
        <v>0</v>
      </c>
      <c r="D24" s="26">
        <v>0</v>
      </c>
      <c r="E24" s="70">
        <f>'Perhitungan Main Part'!L26</f>
        <v>4.1954166666666657</v>
      </c>
      <c r="F24" s="70">
        <f>'Perhitungan Main Part'!X26</f>
        <v>9.0781499999999973</v>
      </c>
      <c r="G24" s="70">
        <f>'Perhitungan Main Part'!AJ26</f>
        <v>19.653416666666665</v>
      </c>
      <c r="H24" s="70">
        <f>'Perhitungan Main Part'!AV26</f>
        <v>30.910549999999997</v>
      </c>
      <c r="I24" s="70">
        <f>'Perhitungan Main Part'!BH26</f>
        <v>42.736949999999993</v>
      </c>
      <c r="J24" s="70">
        <f>'Perhitungan Main Part'!BT26</f>
        <v>55.034816666666657</v>
      </c>
      <c r="K24" s="70">
        <f>'Perhitungan Main Part'!CF26</f>
        <v>67.692616666666652</v>
      </c>
      <c r="L24" s="70">
        <f>'Perhitungan Main Part'!CR26</f>
        <v>74.132566666666648</v>
      </c>
      <c r="M24" s="70">
        <f>'Perhitungan Main Part'!DD26</f>
        <v>83.257626666666653</v>
      </c>
      <c r="N24" s="70">
        <f>'Perhitungan Main Part'!DP26</f>
        <v>92.498863333333318</v>
      </c>
      <c r="O24" s="70">
        <f>'Perhitungan Main Part'!ED26</f>
        <v>111.52721390666665</v>
      </c>
      <c r="Q24" s="287"/>
      <c r="R24" s="72">
        <f t="shared" si="14"/>
        <v>18</v>
      </c>
      <c r="S24" s="67">
        <f t="shared" si="18"/>
        <v>570.42000000000007</v>
      </c>
      <c r="T24" s="97">
        <f t="shared" si="15"/>
        <v>0</v>
      </c>
      <c r="U24" s="70">
        <f t="shared" si="19"/>
        <v>570.42000000000007</v>
      </c>
      <c r="V24" s="70">
        <f t="shared" si="20"/>
        <v>572.51770833333342</v>
      </c>
      <c r="W24" s="70">
        <f t="shared" si="21"/>
        <v>574.9590750000001</v>
      </c>
      <c r="X24" s="70">
        <f t="shared" si="22"/>
        <v>580.24670833333346</v>
      </c>
      <c r="Y24" s="70">
        <f t="shared" si="23"/>
        <v>585.8752750000001</v>
      </c>
      <c r="Z24" s="70">
        <f t="shared" si="24"/>
        <v>591.78847500000006</v>
      </c>
      <c r="AA24" s="70">
        <f t="shared" si="25"/>
        <v>597.93740833333345</v>
      </c>
      <c r="AB24" s="70">
        <f t="shared" si="26"/>
        <v>604.26630833333343</v>
      </c>
      <c r="AC24" s="70">
        <f t="shared" si="27"/>
        <v>607.4862833333334</v>
      </c>
      <c r="AD24" s="70">
        <f t="shared" si="41"/>
        <v>612.04881333333344</v>
      </c>
      <c r="AE24" s="70">
        <f t="shared" si="41"/>
        <v>616.6694316666667</v>
      </c>
      <c r="AF24" s="70">
        <f t="shared" si="29"/>
        <v>626.18360695333342</v>
      </c>
      <c r="AG24" s="97">
        <f>'Perhitungan Main Part'!EA26*R$2</f>
        <v>234.71</v>
      </c>
      <c r="AR24" s="70">
        <f t="shared" si="2"/>
        <v>1.2749999999999999</v>
      </c>
      <c r="AS24" s="70">
        <f t="shared" si="3"/>
        <v>12.5</v>
      </c>
      <c r="AT24" s="70">
        <f t="shared" si="4"/>
        <v>25</v>
      </c>
      <c r="AU24" s="70">
        <f t="shared" si="5"/>
        <v>50</v>
      </c>
      <c r="AV24" s="70">
        <f t="shared" si="6"/>
        <v>75</v>
      </c>
      <c r="AW24" s="70">
        <f t="shared" si="7"/>
        <v>100</v>
      </c>
      <c r="AX24" s="70">
        <f t="shared" si="8"/>
        <v>125</v>
      </c>
      <c r="AY24" s="70">
        <f t="shared" si="9"/>
        <v>150</v>
      </c>
      <c r="AZ24" s="70">
        <f t="shared" si="10"/>
        <v>162.5</v>
      </c>
      <c r="BA24" s="70">
        <f t="shared" si="11"/>
        <v>180</v>
      </c>
      <c r="BB24" s="70">
        <f t="shared" si="12"/>
        <v>197.5</v>
      </c>
      <c r="BC24" s="70">
        <f t="shared" si="13"/>
        <v>242.19499999999999</v>
      </c>
    </row>
    <row r="25" spans="2:56" x14ac:dyDescent="0.3">
      <c r="B25" s="69">
        <f>'Tabel Offset'!A28</f>
        <v>18.5</v>
      </c>
      <c r="C25" s="99">
        <v>0</v>
      </c>
      <c r="D25" s="26">
        <v>0</v>
      </c>
      <c r="E25" s="70">
        <f>'Perhitungan Main Part'!L27</f>
        <v>3.2212499999999999</v>
      </c>
      <c r="F25" s="70">
        <f>'Perhitungan Main Part'!X27</f>
        <v>7.2694833333333335</v>
      </c>
      <c r="G25" s="70">
        <f>'Perhitungan Main Part'!AJ27</f>
        <v>15.83535</v>
      </c>
      <c r="H25" s="70">
        <f>'Perhitungan Main Part'!AV27</f>
        <v>25.161683333333333</v>
      </c>
      <c r="I25" s="70">
        <f>'Perhitungan Main Part'!BH27</f>
        <v>35.117750000000001</v>
      </c>
      <c r="J25" s="70">
        <f>'Perhitungan Main Part'!BT27</f>
        <v>45.810450000000003</v>
      </c>
      <c r="K25" s="70">
        <f>'Perhitungan Main Part'!CF27</f>
        <v>56.967616666666672</v>
      </c>
      <c r="L25" s="70">
        <f>'Perhitungan Main Part'!CR27</f>
        <v>62.607550000000003</v>
      </c>
      <c r="M25" s="70">
        <f>'Perhitungan Main Part'!DD27</f>
        <v>70.644226666666668</v>
      </c>
      <c r="N25" s="70">
        <f>'Perhitungan Main Part'!DP27</f>
        <v>78.826620000000005</v>
      </c>
      <c r="O25" s="70">
        <f>'Perhitungan Main Part'!ED27</f>
        <v>97.338464693333322</v>
      </c>
      <c r="Q25" s="287"/>
      <c r="R25" s="72">
        <f t="shared" si="14"/>
        <v>18.5</v>
      </c>
      <c r="S25" s="67">
        <f t="shared" si="18"/>
        <v>586.26499999999999</v>
      </c>
      <c r="T25" s="97">
        <f t="shared" si="15"/>
        <v>0</v>
      </c>
      <c r="U25" s="70">
        <f t="shared" si="19"/>
        <v>586.26499999999999</v>
      </c>
      <c r="V25" s="70">
        <f t="shared" si="20"/>
        <v>587.87562500000001</v>
      </c>
      <c r="W25" s="70">
        <f t="shared" si="21"/>
        <v>589.89974166666661</v>
      </c>
      <c r="X25" s="70">
        <f t="shared" si="22"/>
        <v>594.18267500000002</v>
      </c>
      <c r="Y25" s="70">
        <f t="shared" si="23"/>
        <v>598.84584166666662</v>
      </c>
      <c r="Z25" s="70">
        <f t="shared" si="24"/>
        <v>603.82387500000004</v>
      </c>
      <c r="AA25" s="70">
        <f t="shared" si="25"/>
        <v>609.17022499999996</v>
      </c>
      <c r="AB25" s="70">
        <f t="shared" si="26"/>
        <v>614.74880833333327</v>
      </c>
      <c r="AC25" s="70">
        <f t="shared" si="27"/>
        <v>617.56877499999996</v>
      </c>
      <c r="AD25" s="70">
        <f t="shared" si="41"/>
        <v>621.58711333333326</v>
      </c>
      <c r="AE25" s="70">
        <f t="shared" si="41"/>
        <v>625.67831000000001</v>
      </c>
      <c r="AF25" s="70">
        <f t="shared" si="29"/>
        <v>634.9342323466667</v>
      </c>
      <c r="AG25" s="97">
        <f>'Perhitungan Main Part'!EA27*R$2</f>
        <v>238.45999999999998</v>
      </c>
      <c r="AR25" s="70">
        <f t="shared" si="2"/>
        <v>6.9</v>
      </c>
      <c r="AS25" s="70">
        <f t="shared" si="3"/>
        <v>12.5</v>
      </c>
      <c r="AT25" s="70">
        <f t="shared" si="4"/>
        <v>25</v>
      </c>
      <c r="AU25" s="70">
        <f t="shared" si="5"/>
        <v>50</v>
      </c>
      <c r="AV25" s="70">
        <f t="shared" si="6"/>
        <v>75</v>
      </c>
      <c r="AW25" s="70">
        <f t="shared" si="7"/>
        <v>100</v>
      </c>
      <c r="AX25" s="70">
        <f t="shared" si="8"/>
        <v>125</v>
      </c>
      <c r="AY25" s="70">
        <f t="shared" si="9"/>
        <v>150</v>
      </c>
      <c r="AZ25" s="70">
        <f t="shared" si="10"/>
        <v>162.5</v>
      </c>
      <c r="BA25" s="70">
        <f t="shared" si="11"/>
        <v>180</v>
      </c>
      <c r="BB25" s="70">
        <f t="shared" si="12"/>
        <v>197.5</v>
      </c>
      <c r="BC25" s="70">
        <f t="shared" si="13"/>
        <v>245.94499999999999</v>
      </c>
    </row>
    <row r="26" spans="2:56" x14ac:dyDescent="0.3">
      <c r="B26" s="69">
        <f>'Tabel Offset'!A29</f>
        <v>19</v>
      </c>
      <c r="C26" s="99">
        <v>5.0999999999999997E-2</v>
      </c>
      <c r="D26" s="26">
        <v>0</v>
      </c>
      <c r="E26" s="70">
        <f>'Perhitungan Main Part'!L28</f>
        <v>1.8681166666666666</v>
      </c>
      <c r="F26" s="70">
        <f>'Perhitungan Main Part'!X28</f>
        <v>4.4586999999999994</v>
      </c>
      <c r="G26" s="70">
        <f>'Perhitungan Main Part'!AJ28</f>
        <v>10.413599999999999</v>
      </c>
      <c r="H26" s="70">
        <f>'Perhitungan Main Part'!AV28</f>
        <v>17.192766666666664</v>
      </c>
      <c r="I26" s="70">
        <f>'Perhitungan Main Part'!BH28</f>
        <v>24.622199999999996</v>
      </c>
      <c r="J26" s="70">
        <f>'Perhitungan Main Part'!BT28</f>
        <v>32.657166666666662</v>
      </c>
      <c r="K26" s="70">
        <f>'Perhitungan Main Part'!CF28</f>
        <v>41.237633333333328</v>
      </c>
      <c r="L26" s="70">
        <f>'Perhitungan Main Part'!CR28</f>
        <v>45.708633333333324</v>
      </c>
      <c r="M26" s="70">
        <f>'Perhitungan Main Part'!DD28</f>
        <v>52.14364466666666</v>
      </c>
      <c r="N26" s="70">
        <f>'Perhitungan Main Part'!DP28</f>
        <v>58.777105999999996</v>
      </c>
      <c r="O26" s="70">
        <f>'Perhitungan Main Part'!ED28</f>
        <v>75.33851048666665</v>
      </c>
      <c r="Q26" s="287"/>
      <c r="R26" s="72">
        <f t="shared" si="14"/>
        <v>19</v>
      </c>
      <c r="S26" s="67">
        <f t="shared" si="18"/>
        <v>602.11</v>
      </c>
      <c r="T26" s="97">
        <f t="shared" si="15"/>
        <v>1.2749999999999999</v>
      </c>
      <c r="U26" s="70" t="str">
        <f t="shared" si="19"/>
        <v>-</v>
      </c>
      <c r="V26" s="70">
        <f t="shared" si="20"/>
        <v>603.0440583333334</v>
      </c>
      <c r="W26" s="70">
        <f t="shared" si="21"/>
        <v>604.33934999999997</v>
      </c>
      <c r="X26" s="70">
        <f t="shared" si="22"/>
        <v>607.31680000000006</v>
      </c>
      <c r="Y26" s="70">
        <f t="shared" si="23"/>
        <v>610.70638333333329</v>
      </c>
      <c r="Z26" s="70">
        <f t="shared" si="24"/>
        <v>614.42110000000002</v>
      </c>
      <c r="AA26" s="70">
        <f t="shared" si="25"/>
        <v>618.43858333333333</v>
      </c>
      <c r="AB26" s="70">
        <f t="shared" si="26"/>
        <v>622.72881666666672</v>
      </c>
      <c r="AC26" s="70">
        <f t="shared" si="27"/>
        <v>624.96431666666672</v>
      </c>
      <c r="AD26" s="70">
        <f t="shared" si="41"/>
        <v>628.18182233333334</v>
      </c>
      <c r="AE26" s="70">
        <f t="shared" si="41"/>
        <v>631.49855300000002</v>
      </c>
      <c r="AF26" s="70">
        <f t="shared" si="29"/>
        <v>639.7792552433333</v>
      </c>
      <c r="AG26" s="97">
        <f>'Perhitungan Main Part'!EA28*R$2</f>
        <v>242.19499999999999</v>
      </c>
      <c r="AR26" s="70" t="str">
        <f t="shared" si="2"/>
        <v>-</v>
      </c>
      <c r="AS26" s="70" t="str">
        <f t="shared" si="3"/>
        <v>-</v>
      </c>
      <c r="AT26" s="70" t="str">
        <f t="shared" si="4"/>
        <v>-</v>
      </c>
      <c r="AU26" s="70" t="str">
        <f t="shared" si="5"/>
        <v>-</v>
      </c>
      <c r="AV26" s="70" t="str">
        <f t="shared" si="6"/>
        <v>-</v>
      </c>
      <c r="AW26" s="70" t="str">
        <f t="shared" si="7"/>
        <v>-</v>
      </c>
      <c r="AX26" s="70">
        <f t="shared" si="8"/>
        <v>148.125</v>
      </c>
      <c r="AY26" s="70">
        <f t="shared" si="9"/>
        <v>150</v>
      </c>
      <c r="AZ26" s="70">
        <f t="shared" si="10"/>
        <v>162.5</v>
      </c>
      <c r="BA26" s="70">
        <f t="shared" si="11"/>
        <v>180</v>
      </c>
      <c r="BB26" s="70">
        <f t="shared" si="12"/>
        <v>197.5</v>
      </c>
      <c r="BC26" s="70">
        <f t="shared" si="13"/>
        <v>249.7175</v>
      </c>
    </row>
    <row r="27" spans="2:56" x14ac:dyDescent="0.3">
      <c r="B27" s="69">
        <f>'Tabel Offset'!A30</f>
        <v>19.5</v>
      </c>
      <c r="C27" s="99">
        <v>0.27600000000000002</v>
      </c>
      <c r="D27" s="26">
        <v>0</v>
      </c>
      <c r="E27" s="70">
        <f>'Perhitungan Main Part'!L29</f>
        <v>6.8499999999999991E-2</v>
      </c>
      <c r="F27" s="70">
        <f>'Perhitungan Main Part'!X29</f>
        <v>0.78741666666666665</v>
      </c>
      <c r="G27" s="70">
        <f>'Perhitungan Main Part'!AJ29</f>
        <v>3.1753499999999999</v>
      </c>
      <c r="H27" s="70">
        <f>'Perhitungan Main Part'!AV29</f>
        <v>6.4256499999999992</v>
      </c>
      <c r="I27" s="70">
        <f>'Perhitungan Main Part'!BH29</f>
        <v>10.367349999999998</v>
      </c>
      <c r="J27" s="70">
        <f>'Perhitungan Main Part'!BT29</f>
        <v>14.895916666666665</v>
      </c>
      <c r="K27" s="70">
        <f>'Perhitungan Main Part'!CF29</f>
        <v>19.975883333333332</v>
      </c>
      <c r="L27" s="70">
        <f>'Perhitungan Main Part'!CR29</f>
        <v>22.713316666666664</v>
      </c>
      <c r="M27" s="70">
        <f>'Perhitungan Main Part'!DD29</f>
        <v>26.756609999999998</v>
      </c>
      <c r="N27" s="70">
        <f>'Perhitungan Main Part'!DP29</f>
        <v>31.074707</v>
      </c>
      <c r="O27" s="70">
        <f>'Perhitungan Main Part'!ED29</f>
        <v>43.669263697999995</v>
      </c>
      <c r="Q27" s="287"/>
      <c r="R27" s="72">
        <f t="shared" si="14"/>
        <v>19.5</v>
      </c>
      <c r="S27" s="67">
        <f t="shared" si="18"/>
        <v>617.95500000000004</v>
      </c>
      <c r="T27" s="97">
        <f t="shared" si="15"/>
        <v>6.9</v>
      </c>
      <c r="U27" s="70" t="str">
        <f t="shared" si="19"/>
        <v>-</v>
      </c>
      <c r="V27" s="70">
        <f t="shared" si="20"/>
        <v>617.98925000000008</v>
      </c>
      <c r="W27" s="70">
        <f t="shared" si="21"/>
        <v>618.34870833333332</v>
      </c>
      <c r="X27" s="70">
        <f t="shared" si="22"/>
        <v>619.54267500000003</v>
      </c>
      <c r="Y27" s="70">
        <f t="shared" si="23"/>
        <v>621.16782499999999</v>
      </c>
      <c r="Z27" s="70">
        <f t="shared" si="24"/>
        <v>623.13867500000003</v>
      </c>
      <c r="AA27" s="70">
        <f t="shared" si="25"/>
        <v>625.40295833333334</v>
      </c>
      <c r="AB27" s="70">
        <f t="shared" si="26"/>
        <v>627.94294166666668</v>
      </c>
      <c r="AC27" s="70">
        <f t="shared" si="27"/>
        <v>629.31165833333341</v>
      </c>
      <c r="AD27" s="70">
        <f t="shared" si="41"/>
        <v>631.333305</v>
      </c>
      <c r="AE27" s="70">
        <f t="shared" si="41"/>
        <v>633.49235350000004</v>
      </c>
      <c r="AF27" s="70">
        <f t="shared" si="29"/>
        <v>639.78963184899999</v>
      </c>
      <c r="AG27" s="97">
        <f>'Perhitungan Main Part'!EA29*R$2</f>
        <v>245.94499999999999</v>
      </c>
    </row>
    <row r="28" spans="2:56" x14ac:dyDescent="0.3">
      <c r="B28" s="69" t="str">
        <f>'Tabel Offset'!A31</f>
        <v>FP</v>
      </c>
      <c r="C28" s="99">
        <v>5.9249999999999998</v>
      </c>
      <c r="D28" s="26">
        <v>0</v>
      </c>
      <c r="E28" s="70">
        <f>'Perhitungan Main Part'!L30</f>
        <v>0</v>
      </c>
      <c r="F28" s="70">
        <f>'Perhitungan Main Part'!X30</f>
        <v>0</v>
      </c>
      <c r="G28" s="70">
        <f>'Perhitungan Main Part'!AJ30</f>
        <v>0</v>
      </c>
      <c r="H28" s="70">
        <f>'Perhitungan Main Part'!AV30</f>
        <v>0</v>
      </c>
      <c r="I28" s="70">
        <f>'Perhitungan Main Part'!BH30</f>
        <v>0</v>
      </c>
      <c r="J28" s="70">
        <f>'Perhitungan Main Part'!BT30</f>
        <v>0</v>
      </c>
      <c r="K28" s="70">
        <f>'Perhitungan Main Part'!CF30</f>
        <v>0</v>
      </c>
      <c r="L28" s="70">
        <f>'Perhitungan Main Part'!CR30</f>
        <v>2.7066666666666662E-2</v>
      </c>
      <c r="M28" s="70">
        <f>'Perhitungan Main Part'!DD30</f>
        <v>0.40077333333333348</v>
      </c>
      <c r="N28" s="70">
        <f>'Perhitungan Main Part'!DP30</f>
        <v>1.0681533333333335</v>
      </c>
      <c r="O28" s="70">
        <f>'Perhitungan Main Part'!ED30</f>
        <v>5.2040578266666646</v>
      </c>
      <c r="Q28" s="288"/>
      <c r="R28" s="72" t="str">
        <f t="shared" si="14"/>
        <v>FP</v>
      </c>
      <c r="S28" s="67">
        <f>20*$R$3</f>
        <v>633.80000000000007</v>
      </c>
      <c r="T28" s="97">
        <f t="shared" si="15"/>
        <v>148.125</v>
      </c>
      <c r="U28" s="70" t="str">
        <f t="shared" si="19"/>
        <v>-</v>
      </c>
      <c r="V28" s="70" t="str">
        <f t="shared" si="20"/>
        <v>-</v>
      </c>
      <c r="W28" s="70" t="str">
        <f t="shared" si="21"/>
        <v>-</v>
      </c>
      <c r="X28" s="70" t="str">
        <f t="shared" si="22"/>
        <v>-</v>
      </c>
      <c r="Y28" s="70" t="str">
        <f t="shared" si="23"/>
        <v>-</v>
      </c>
      <c r="Z28" s="70" t="str">
        <f t="shared" si="24"/>
        <v>-</v>
      </c>
      <c r="AA28" s="70" t="str">
        <f t="shared" si="25"/>
        <v>-</v>
      </c>
      <c r="AB28" s="70">
        <f t="shared" si="26"/>
        <v>633.80000000000007</v>
      </c>
      <c r="AC28" s="70">
        <f t="shared" si="27"/>
        <v>633.81353333333345</v>
      </c>
      <c r="AD28" s="70">
        <f t="shared" si="41"/>
        <v>634.00038666666671</v>
      </c>
      <c r="AE28" s="70">
        <f t="shared" si="41"/>
        <v>634.33407666666676</v>
      </c>
      <c r="AF28" s="70">
        <f>O28*$Q$4+S28</f>
        <v>636.40202891333342</v>
      </c>
      <c r="AG28" s="97">
        <f>'Perhitungan Main Part'!EA30*R$2</f>
        <v>249.7175</v>
      </c>
    </row>
    <row r="29" spans="2:56" x14ac:dyDescent="0.3">
      <c r="Q29" s="68" t="s">
        <v>53</v>
      </c>
      <c r="R29" t="s">
        <v>31</v>
      </c>
      <c r="S29" s="165" t="s">
        <v>54</v>
      </c>
      <c r="T29">
        <f>('Tabel Offset'!AA4/20)*1000/R3</f>
        <v>150</v>
      </c>
    </row>
    <row r="30" spans="2:56" x14ac:dyDescent="0.3">
      <c r="N30" s="68">
        <f>1/40</f>
        <v>2.5000000000000001E-2</v>
      </c>
      <c r="R30" t="s">
        <v>26</v>
      </c>
      <c r="S30" s="165" t="s">
        <v>54</v>
      </c>
      <c r="T30">
        <f>1000/R2</f>
        <v>40</v>
      </c>
      <c r="AR30" s="80" t="s">
        <v>80</v>
      </c>
    </row>
    <row r="31" spans="2:56" ht="16.2" x14ac:dyDescent="0.3">
      <c r="R31" t="s">
        <v>55</v>
      </c>
      <c r="S31" s="166" t="s">
        <v>81</v>
      </c>
      <c r="T31">
        <f>1/Q4</f>
        <v>2</v>
      </c>
      <c r="U31" s="68" t="s">
        <v>66</v>
      </c>
      <c r="V31" s="205"/>
      <c r="AR31" s="195" t="s">
        <v>79</v>
      </c>
      <c r="AS31" s="196"/>
      <c r="AT31" s="196"/>
      <c r="AU31" s="196"/>
      <c r="AV31" s="196"/>
      <c r="AW31" s="196"/>
      <c r="AX31" s="196"/>
      <c r="AY31" s="196"/>
      <c r="AZ31" s="196"/>
      <c r="BA31" s="196"/>
      <c r="BB31" s="196"/>
      <c r="BC31" s="196"/>
      <c r="BD31" s="196"/>
    </row>
    <row r="32" spans="2:56" x14ac:dyDescent="0.3">
      <c r="S32" s="169"/>
    </row>
    <row r="33" spans="1:57" x14ac:dyDescent="0.3">
      <c r="B33" s="80" t="s">
        <v>50</v>
      </c>
      <c r="AT33" s="67">
        <f>U2</f>
        <v>0</v>
      </c>
      <c r="AU33" s="67">
        <f t="shared" ref="AU33:BD33" si="42">V2</f>
        <v>12.5</v>
      </c>
      <c r="AV33" s="67">
        <f t="shared" si="42"/>
        <v>25</v>
      </c>
      <c r="AW33" s="67">
        <f t="shared" si="42"/>
        <v>50</v>
      </c>
      <c r="AX33" s="67">
        <f t="shared" si="42"/>
        <v>75</v>
      </c>
      <c r="AY33" s="67">
        <f t="shared" si="42"/>
        <v>100</v>
      </c>
      <c r="AZ33" s="67">
        <f t="shared" si="42"/>
        <v>125</v>
      </c>
      <c r="BA33" s="67">
        <f t="shared" si="42"/>
        <v>150</v>
      </c>
      <c r="BB33" s="67">
        <f t="shared" si="42"/>
        <v>162.5</v>
      </c>
      <c r="BC33" s="67">
        <f t="shared" si="42"/>
        <v>180</v>
      </c>
      <c r="BD33" s="67">
        <f t="shared" si="42"/>
        <v>197.5</v>
      </c>
      <c r="BE33" s="67" t="s">
        <v>37</v>
      </c>
    </row>
    <row r="34" spans="1:57" ht="15" thickBot="1" x14ac:dyDescent="0.35">
      <c r="N34" s="85"/>
      <c r="O34" s="68" t="s">
        <v>41</v>
      </c>
      <c r="AE34" s="68" t="s">
        <v>48</v>
      </c>
      <c r="AG34" s="92"/>
      <c r="AH34" s="92"/>
      <c r="AJ34" s="85" t="s">
        <v>49</v>
      </c>
      <c r="AK34" s="85"/>
      <c r="AL34" s="94"/>
      <c r="AM34" s="94"/>
      <c r="AS34" s="69" t="s">
        <v>14</v>
      </c>
      <c r="AT34" s="193" t="str">
        <f t="shared" ref="AT34:AT58" si="43">CONCATENATE($AR$37,U4,",",U$2)</f>
        <v>PO -,0</v>
      </c>
      <c r="AU34" s="193" t="str">
        <f t="shared" ref="AU34:AU58" si="44">CONCATENATE($AR$37,V4,",",V$2)</f>
        <v>PO -,12.5</v>
      </c>
      <c r="AV34" s="193" t="str">
        <f t="shared" ref="AV34:AV58" si="45">CONCATENATE($AR$37,W4,",",W$2)</f>
        <v>PO -,25</v>
      </c>
      <c r="AW34" s="193" t="str">
        <f t="shared" ref="AW34:AW58" si="46">CONCATENATE($AR$37,X4,",",X$2)</f>
        <v>PO -,50</v>
      </c>
      <c r="AX34" s="193" t="str">
        <f t="shared" ref="AX34:AX58" si="47">CONCATENATE($AR$37,Y4,",",Y$2)</f>
        <v>PO -,75</v>
      </c>
      <c r="AY34" s="193" t="str">
        <f t="shared" ref="AY34:AY58" si="48">CONCATENATE($AR$37,Z4,",",Z$2)</f>
        <v>PO -,100</v>
      </c>
      <c r="AZ34" s="193" t="str">
        <f t="shared" ref="AZ34:AZ58" si="49">CONCATENATE($AR$37,AA4,",",AA$2)</f>
        <v>PO -,125</v>
      </c>
      <c r="BA34" s="194" t="str">
        <f t="shared" ref="BA34:BA58" si="50">CONCATENATE($AR$37,AB4,",",AB$2)</f>
        <v>PO 0.715733333333333,150</v>
      </c>
      <c r="BB34" s="194" t="str">
        <f t="shared" ref="BB34:BB58" si="51">CONCATENATE($AR$37,AC4,",",AC$2)</f>
        <v>PO 1.74196666666667,162.5</v>
      </c>
      <c r="BC34" s="194" t="str">
        <f t="shared" ref="BC34:BC58" si="52">CONCATENATE($AR$37,AD4,",",AD$2)</f>
        <v>PO 3.81393166666667,180</v>
      </c>
      <c r="BD34" s="194" t="str">
        <f t="shared" ref="BD34:BD58" si="53">CONCATENATE($AR$37,AE4,",",AE$2)</f>
        <v>PO 6.56678666666667,197.5</v>
      </c>
      <c r="BE34" s="194" t="str">
        <f t="shared" ref="BE34:BE58" si="54">CONCATENATE($AR$37,AF4,",",$AG4)</f>
        <v>PO 11.4793514666667,222.3625</v>
      </c>
    </row>
    <row r="35" spans="1:57" ht="15" thickBot="1" x14ac:dyDescent="0.35">
      <c r="A35" s="83" t="str">
        <f t="shared" ref="A35:A59" si="55">R4</f>
        <v>AP</v>
      </c>
      <c r="B35" s="81" t="s">
        <v>40</v>
      </c>
      <c r="C35" s="82" t="str">
        <f t="shared" ref="C35:C59" si="56">IF(U$2&lt;$T4,IF(V$2&lt;$T4,U4,$S4),U4)&amp;","&amp;AR2</f>
        <v>-,-</v>
      </c>
      <c r="D35" s="82" t="str">
        <f t="shared" ref="D35:D59" si="57">IF(V$2&lt;$T4,IF(W$2&lt;$T4,V4,$S4),V4)&amp;","&amp;AS2</f>
        <v>-,-</v>
      </c>
      <c r="E35" s="82" t="str">
        <f t="shared" ref="E35:E59" si="58">IF(W$2&lt;$T4,IF(X$2&lt;$T4,W4,$S4),W4)&amp;","&amp;AT2</f>
        <v>-,-</v>
      </c>
      <c r="F35" s="82" t="str">
        <f t="shared" ref="F35:F59" si="59">IF(X$2&lt;$T4,IF(Y$2&lt;$T4,X4,$S4),X4)&amp;","&amp;AU2</f>
        <v>-,-</v>
      </c>
      <c r="G35" s="82" t="str">
        <f t="shared" ref="G35:G59" si="60">IF(Y$2&lt;$T4,IF(Z$2&lt;$T4,Y4,$S4),Y4)&amp;","&amp;AV2</f>
        <v>-,-</v>
      </c>
      <c r="H35" s="82" t="str">
        <f t="shared" ref="H35:I59" si="61">IF(Z$2&lt;$T4,IF(AA$2&lt;$T4,Z4,$S4),Z4)&amp;","&amp;AW2</f>
        <v>-,-</v>
      </c>
      <c r="I35" s="82" t="str">
        <f t="shared" si="61"/>
        <v>0,131.85</v>
      </c>
      <c r="J35" s="82" t="str">
        <f t="shared" ref="J35:J59" si="62">IF(AB$2&lt;$T4,IF(AC$2&lt;$T4,AB4,$S4),AB4)&amp;","&amp;AY2</f>
        <v>0.715733333333333,150</v>
      </c>
      <c r="K35" s="82" t="str">
        <f t="shared" ref="K35:K59" si="63">IF(AC$2&lt;$T4,IF(AD$2&lt;$T4,AC4,$S4),AC4)&amp;","&amp;AZ2</f>
        <v>1.74196666666667,162.5</v>
      </c>
      <c r="L35" s="82" t="str">
        <f t="shared" ref="L35:L59" si="64">IF(AD$2&lt;$T4,IF(AE$2&lt;$T4,AD4,$S4),AD4)&amp;","&amp;BA2</f>
        <v>3.81393166666667,180</v>
      </c>
      <c r="M35" s="82" t="str">
        <f t="shared" ref="M35:M59" si="65">IF(AE$2&lt;$T4,IF($AG4&lt;$T4,AE4,$S4),AE4)&amp;","&amp;BB2</f>
        <v>6.56678666666667,197.5</v>
      </c>
      <c r="N35" s="84" t="str">
        <f t="shared" ref="N35:N59" si="66">AF4&amp;","&amp;BC2</f>
        <v>11.4793514666667,222.3625</v>
      </c>
      <c r="P35" s="83" t="str">
        <f t="shared" ref="P35:P59" si="67">A35</f>
        <v>AP</v>
      </c>
      <c r="Q35" s="81" t="s">
        <v>40</v>
      </c>
      <c r="R35" s="82" t="str">
        <f t="shared" ref="R35:R59" si="68">IF(AR2="-","-",$S4)&amp;","&amp;AR2</f>
        <v>-,-</v>
      </c>
      <c r="S35" s="82" t="str">
        <f t="shared" ref="S35:S59" si="69">IF(AS2="-","-",$S4)&amp;","&amp;AS2</f>
        <v>-,-</v>
      </c>
      <c r="T35" s="82" t="str">
        <f t="shared" ref="T35:T59" si="70">IF(AT2="-","-",$S4)&amp;","&amp;AT2</f>
        <v>-,-</v>
      </c>
      <c r="U35" s="82" t="str">
        <f t="shared" ref="U35:U59" si="71">IF(AU2="-","-",$S4)&amp;","&amp;AU2</f>
        <v>-,-</v>
      </c>
      <c r="V35" s="82" t="str">
        <f t="shared" ref="V35:V59" si="72">IF(AV2="-","-",$S4)&amp;","&amp;AV2</f>
        <v>-,-</v>
      </c>
      <c r="W35" s="82" t="str">
        <f t="shared" ref="W35:W59" si="73">IF(AW2="-","-",$S4)&amp;","&amp;AW2</f>
        <v>-,-</v>
      </c>
      <c r="X35" s="82" t="str">
        <f t="shared" ref="X35:X59" si="74">IF(AX2="-","-",$S4)&amp;","&amp;AX2</f>
        <v>0,131.85</v>
      </c>
      <c r="Y35" s="82" t="str">
        <f t="shared" ref="Y35:Y59" si="75">IF(AY2="-","-",$S4)&amp;","&amp;AY2</f>
        <v>0,150</v>
      </c>
      <c r="Z35" s="82" t="str">
        <f t="shared" ref="Z35:Z59" si="76">IF(AZ2="-","-",$S4)&amp;","&amp;AZ2</f>
        <v>0,162.5</v>
      </c>
      <c r="AA35" s="82" t="str">
        <f t="shared" ref="AA35:AA59" si="77">IF(BA2="-","-",$S4)&amp;","&amp;BA2</f>
        <v>0,180</v>
      </c>
      <c r="AB35" s="82" t="str">
        <f t="shared" ref="AB35:AB59" si="78">IF(BB2="-","-",$S4)&amp;","&amp;BB2</f>
        <v>0,197.5</v>
      </c>
      <c r="AC35" s="84" t="str">
        <f t="shared" ref="AC35:AC59" si="79">$S4&amp;","&amp;BC2</f>
        <v>0,222.3625</v>
      </c>
      <c r="AE35" s="83" t="str">
        <f t="shared" ref="AE35:AE59" si="80">P35</f>
        <v>AP</v>
      </c>
      <c r="AF35" s="81" t="s">
        <v>46</v>
      </c>
      <c r="AG35" s="82" t="str">
        <f t="shared" ref="AG35:AG59" si="81">$S4&amp;","&amp;MAX(AR2:BB2)</f>
        <v>0,197.5</v>
      </c>
      <c r="AH35" s="91" t="str">
        <f t="shared" ref="AH35:AH59" si="82">MAX(U4:AE4)&amp;","&amp;MAX(AR2:BB2)</f>
        <v>6.56678666666667,197.5</v>
      </c>
      <c r="AJ35" s="83" t="str">
        <f t="shared" ref="AJ35:AJ59" si="83">AE35</f>
        <v>AP</v>
      </c>
      <c r="AK35" s="81" t="s">
        <v>82</v>
      </c>
      <c r="AL35" s="82" t="str">
        <f t="shared" ref="AL35:AL59" si="84">$S4&amp;","&amp;BC2</f>
        <v>0,222.3625</v>
      </c>
      <c r="AM35" s="91" t="str">
        <f t="shared" ref="AM35:AM59" si="85">$AF4&amp;","&amp;BC2</f>
        <v>11.4793514666667,222.3625</v>
      </c>
      <c r="AS35" s="69">
        <v>0.5</v>
      </c>
      <c r="AT35" s="193" t="str">
        <f t="shared" si="43"/>
        <v>PO -,0</v>
      </c>
      <c r="AU35" s="193" t="str">
        <f t="shared" si="44"/>
        <v>PO -,12.5</v>
      </c>
      <c r="AV35" s="193" t="str">
        <f t="shared" si="45"/>
        <v>PO 15.8555,25</v>
      </c>
      <c r="AW35" s="194" t="str">
        <f t="shared" si="46"/>
        <v>PO 16.245,50</v>
      </c>
      <c r="AX35" s="194" t="str">
        <f t="shared" si="47"/>
        <v>PO 16.9657666666667,75</v>
      </c>
      <c r="AY35" s="194" t="str">
        <f t="shared" si="48"/>
        <v>PO 17.9054333333333,100</v>
      </c>
      <c r="AZ35" s="194" t="str">
        <f t="shared" si="49"/>
        <v>PO 19.37015,125</v>
      </c>
      <c r="BA35" s="194" t="str">
        <f t="shared" si="50"/>
        <v>PO 21.7808333333333,150</v>
      </c>
      <c r="BB35" s="194" t="str">
        <f t="shared" si="51"/>
        <v>PO 23.3886,162.5</v>
      </c>
      <c r="BC35" s="194" t="str">
        <f t="shared" si="52"/>
        <v>PO 26.1589433333333,180</v>
      </c>
      <c r="BD35" s="194" t="str">
        <f t="shared" si="53"/>
        <v>PO 29.5031233333333,197.5</v>
      </c>
      <c r="BE35" s="194" t="str">
        <f t="shared" si="54"/>
        <v>PO 34.6150103333333,220.1875</v>
      </c>
    </row>
    <row r="36" spans="1:57" ht="15" thickBot="1" x14ac:dyDescent="0.35">
      <c r="A36" s="83">
        <f t="shared" si="55"/>
        <v>0.5</v>
      </c>
      <c r="B36" s="81" t="s">
        <v>40</v>
      </c>
      <c r="C36" s="82" t="str">
        <f t="shared" si="56"/>
        <v>-,-</v>
      </c>
      <c r="D36" s="82" t="str">
        <f t="shared" si="57"/>
        <v>15.845,13.65</v>
      </c>
      <c r="E36" s="82" t="str">
        <f t="shared" si="58"/>
        <v>15.8555,25</v>
      </c>
      <c r="F36" s="82" t="str">
        <f t="shared" si="59"/>
        <v>16.245,50</v>
      </c>
      <c r="G36" s="82" t="str">
        <f t="shared" si="60"/>
        <v>16.9657666666667,75</v>
      </c>
      <c r="H36" s="82" t="str">
        <f t="shared" si="61"/>
        <v>17.9054333333333,100</v>
      </c>
      <c r="I36" s="82" t="str">
        <f t="shared" ref="I36:I59" si="86">IF(AA$2&lt;$T5,IF(AB$2&lt;$T5,AA5,$S5),AA5)&amp;","&amp;AX3</f>
        <v>19.37015,125</v>
      </c>
      <c r="J36" s="82" t="str">
        <f t="shared" si="62"/>
        <v>21.7808333333333,150</v>
      </c>
      <c r="K36" s="82" t="str">
        <f t="shared" si="63"/>
        <v>23.3886,162.5</v>
      </c>
      <c r="L36" s="82" t="str">
        <f t="shared" si="64"/>
        <v>26.1589433333333,180</v>
      </c>
      <c r="M36" s="82" t="str">
        <f t="shared" si="65"/>
        <v>29.5031233333333,197.5</v>
      </c>
      <c r="N36" s="84" t="str">
        <f t="shared" si="66"/>
        <v>34.6150103333333,220.1875</v>
      </c>
      <c r="P36" s="83">
        <f t="shared" si="67"/>
        <v>0.5</v>
      </c>
      <c r="Q36" s="81" t="s">
        <v>40</v>
      </c>
      <c r="R36" s="82" t="str">
        <f t="shared" si="68"/>
        <v>-,-</v>
      </c>
      <c r="S36" s="82" t="str">
        <f t="shared" si="69"/>
        <v>15.845,13.65</v>
      </c>
      <c r="T36" s="82" t="str">
        <f t="shared" si="70"/>
        <v>15.845,25</v>
      </c>
      <c r="U36" s="82" t="str">
        <f t="shared" si="71"/>
        <v>15.845,50</v>
      </c>
      <c r="V36" s="82" t="str">
        <f t="shared" si="72"/>
        <v>15.845,75</v>
      </c>
      <c r="W36" s="82" t="str">
        <f t="shared" si="73"/>
        <v>15.845,100</v>
      </c>
      <c r="X36" s="82" t="str">
        <f t="shared" si="74"/>
        <v>15.845,125</v>
      </c>
      <c r="Y36" s="82" t="str">
        <f t="shared" si="75"/>
        <v>15.845,150</v>
      </c>
      <c r="Z36" s="82" t="str">
        <f t="shared" si="76"/>
        <v>15.845,162.5</v>
      </c>
      <c r="AA36" s="82" t="str">
        <f t="shared" si="77"/>
        <v>15.845,180</v>
      </c>
      <c r="AB36" s="82" t="str">
        <f t="shared" si="78"/>
        <v>15.845,197.5</v>
      </c>
      <c r="AC36" s="84" t="str">
        <f t="shared" si="79"/>
        <v>15.845,220.1875</v>
      </c>
      <c r="AE36" s="83">
        <f t="shared" si="80"/>
        <v>0.5</v>
      </c>
      <c r="AF36" s="81" t="s">
        <v>46</v>
      </c>
      <c r="AG36" s="82" t="str">
        <f t="shared" si="81"/>
        <v>15.845,197.5</v>
      </c>
      <c r="AH36" s="91" t="str">
        <f t="shared" si="82"/>
        <v>29.5031233333333,197.5</v>
      </c>
      <c r="AJ36" s="83">
        <f t="shared" si="83"/>
        <v>0.5</v>
      </c>
      <c r="AK36" s="81" t="s">
        <v>82</v>
      </c>
      <c r="AL36" s="92" t="str">
        <f>$S5&amp;","&amp;BC3</f>
        <v>15.845,220.1875</v>
      </c>
      <c r="AM36" s="93" t="str">
        <f t="shared" si="85"/>
        <v>34.6150103333333,220.1875</v>
      </c>
      <c r="AS36" s="69">
        <v>1</v>
      </c>
      <c r="AT36" s="193" t="str">
        <f t="shared" si="43"/>
        <v>PO -,0</v>
      </c>
      <c r="AU36" s="193" t="str">
        <f t="shared" si="44"/>
        <v>PO 31.8205083333333,12.5</v>
      </c>
      <c r="AV36" s="193" t="str">
        <f t="shared" si="45"/>
        <v>PO 32.1825166666667,25</v>
      </c>
      <c r="AW36" s="194" t="str">
        <f t="shared" si="46"/>
        <v>PO 33.3892666666667,50</v>
      </c>
      <c r="AX36" s="194" t="str">
        <f t="shared" si="47"/>
        <v>PO 34.9200166666667,75</v>
      </c>
      <c r="AY36" s="194" t="str">
        <f t="shared" si="48"/>
        <v>PO 37.1320166666667,100</v>
      </c>
      <c r="AZ36" s="194" t="str">
        <f t="shared" si="49"/>
        <v>PO 39.9145833333333,125</v>
      </c>
      <c r="BA36" s="194" t="str">
        <f t="shared" si="50"/>
        <v>PO 43.5091833333333,150</v>
      </c>
      <c r="BB36" s="194" t="str">
        <f t="shared" si="51"/>
        <v>PO 45.6894333333333,162.5</v>
      </c>
      <c r="BC36" s="194" t="str">
        <f t="shared" si="52"/>
        <v>PO 49.220245,180</v>
      </c>
      <c r="BD36" s="194" t="str">
        <f t="shared" si="53"/>
        <v>PO 53.324205,197.5</v>
      </c>
      <c r="BE36" s="194" t="str">
        <f t="shared" si="54"/>
        <v>PO 58.52550949,218.0225</v>
      </c>
    </row>
    <row r="37" spans="1:57" ht="15" thickBot="1" x14ac:dyDescent="0.35">
      <c r="A37" s="83">
        <f t="shared" si="55"/>
        <v>1</v>
      </c>
      <c r="B37" s="81" t="s">
        <v>40</v>
      </c>
      <c r="C37" s="82" t="str">
        <f t="shared" si="56"/>
        <v>31.69,1.725</v>
      </c>
      <c r="D37" s="82" t="str">
        <f t="shared" si="57"/>
        <v>31.8205083333333,12.5</v>
      </c>
      <c r="E37" s="82" t="str">
        <f t="shared" si="58"/>
        <v>32.1825166666667,25</v>
      </c>
      <c r="F37" s="82" t="str">
        <f t="shared" si="59"/>
        <v>33.3892666666667,50</v>
      </c>
      <c r="G37" s="82" t="str">
        <f t="shared" si="60"/>
        <v>34.9200166666667,75</v>
      </c>
      <c r="H37" s="82" t="str">
        <f t="shared" si="61"/>
        <v>37.1320166666667,100</v>
      </c>
      <c r="I37" s="82" t="str">
        <f t="shared" si="86"/>
        <v>39.9145833333333,125</v>
      </c>
      <c r="J37" s="82" t="str">
        <f t="shared" si="62"/>
        <v>43.5091833333333,150</v>
      </c>
      <c r="K37" s="82" t="str">
        <f t="shared" si="63"/>
        <v>45.6894333333333,162.5</v>
      </c>
      <c r="L37" s="82" t="str">
        <f t="shared" si="64"/>
        <v>49.220245,180</v>
      </c>
      <c r="M37" s="82" t="str">
        <f t="shared" si="65"/>
        <v>53.324205,197.5</v>
      </c>
      <c r="N37" s="84" t="str">
        <f t="shared" si="66"/>
        <v>58.52550949,218.0225</v>
      </c>
      <c r="P37" s="83">
        <f t="shared" si="67"/>
        <v>1</v>
      </c>
      <c r="Q37" s="81" t="s">
        <v>40</v>
      </c>
      <c r="R37" s="82" t="str">
        <f t="shared" si="68"/>
        <v>31.69,1.725</v>
      </c>
      <c r="S37" s="82" t="str">
        <f t="shared" si="69"/>
        <v>31.69,12.5</v>
      </c>
      <c r="T37" s="82" t="str">
        <f t="shared" si="70"/>
        <v>31.69,25</v>
      </c>
      <c r="U37" s="82" t="str">
        <f t="shared" si="71"/>
        <v>31.69,50</v>
      </c>
      <c r="V37" s="82" t="str">
        <f t="shared" si="72"/>
        <v>31.69,75</v>
      </c>
      <c r="W37" s="82" t="str">
        <f t="shared" si="73"/>
        <v>31.69,100</v>
      </c>
      <c r="X37" s="82" t="str">
        <f t="shared" si="74"/>
        <v>31.69,125</v>
      </c>
      <c r="Y37" s="82" t="str">
        <f t="shared" si="75"/>
        <v>31.69,150</v>
      </c>
      <c r="Z37" s="82" t="str">
        <f t="shared" si="76"/>
        <v>31.69,162.5</v>
      </c>
      <c r="AA37" s="82" t="str">
        <f t="shared" si="77"/>
        <v>31.69,180</v>
      </c>
      <c r="AB37" s="82" t="str">
        <f t="shared" si="78"/>
        <v>31.69,197.5</v>
      </c>
      <c r="AC37" s="84" t="str">
        <f t="shared" si="79"/>
        <v>31.69,218.0225</v>
      </c>
      <c r="AE37" s="83">
        <f t="shared" si="80"/>
        <v>1</v>
      </c>
      <c r="AF37" s="81" t="s">
        <v>46</v>
      </c>
      <c r="AG37" s="82" t="str">
        <f t="shared" si="81"/>
        <v>31.69,197.5</v>
      </c>
      <c r="AH37" s="91" t="str">
        <f t="shared" si="82"/>
        <v>53.324205,197.5</v>
      </c>
      <c r="AJ37" s="83">
        <f t="shared" si="83"/>
        <v>1</v>
      </c>
      <c r="AK37" s="81" t="s">
        <v>82</v>
      </c>
      <c r="AL37" s="92" t="str">
        <f t="shared" si="84"/>
        <v>31.69,218.0225</v>
      </c>
      <c r="AM37" s="93" t="str">
        <f t="shared" si="85"/>
        <v>58.52550949,218.0225</v>
      </c>
      <c r="AR37" s="193" t="s">
        <v>78</v>
      </c>
      <c r="AS37" s="69">
        <v>1.5</v>
      </c>
      <c r="AT37" s="193" t="str">
        <f t="shared" si="43"/>
        <v>PO 47.535,0</v>
      </c>
      <c r="AU37" s="193" t="str">
        <f t="shared" si="44"/>
        <v>PO 47.850225,12.5</v>
      </c>
      <c r="AV37" s="194" t="str">
        <f t="shared" si="45"/>
        <v>PO 48.4913166666667,25</v>
      </c>
      <c r="AW37" s="194" t="str">
        <f t="shared" si="46"/>
        <v>PO 50.3466,50</v>
      </c>
      <c r="AX37" s="194" t="str">
        <f t="shared" si="47"/>
        <v>PO 52.7151333333333,75</v>
      </c>
      <c r="AY37" s="194" t="str">
        <f t="shared" si="48"/>
        <v>PO 55.82665,100</v>
      </c>
      <c r="AZ37" s="194" t="str">
        <f t="shared" si="49"/>
        <v>PO 59.6399333333333,125</v>
      </c>
      <c r="BA37" s="194" t="str">
        <f t="shared" si="50"/>
        <v>PO 64.3689666666667,150</v>
      </c>
      <c r="BB37" s="194" t="str">
        <f t="shared" si="51"/>
        <v>PO 67.124875,162.5</v>
      </c>
      <c r="BC37" s="194" t="str">
        <f t="shared" si="52"/>
        <v>PO 72.3485666666667,180</v>
      </c>
      <c r="BD37" s="194" t="str">
        <f t="shared" si="53"/>
        <v>PO 77.0020966666667,197.5</v>
      </c>
      <c r="BE37" s="194" t="str">
        <f t="shared" si="54"/>
        <v>PO 82.0187802016667,215.8475</v>
      </c>
    </row>
    <row r="38" spans="1:57" ht="15" thickBot="1" x14ac:dyDescent="0.35">
      <c r="A38" s="83">
        <f t="shared" si="55"/>
        <v>1.5</v>
      </c>
      <c r="B38" s="81" t="s">
        <v>40</v>
      </c>
      <c r="C38" s="82" t="str">
        <f t="shared" si="56"/>
        <v>47.535,0</v>
      </c>
      <c r="D38" s="82" t="str">
        <f t="shared" si="57"/>
        <v>47.850225,12.5</v>
      </c>
      <c r="E38" s="82" t="str">
        <f t="shared" si="58"/>
        <v>48.4913166666667,25</v>
      </c>
      <c r="F38" s="82" t="str">
        <f t="shared" si="59"/>
        <v>50.3466,50</v>
      </c>
      <c r="G38" s="82" t="str">
        <f t="shared" si="60"/>
        <v>52.7151333333333,75</v>
      </c>
      <c r="H38" s="82" t="str">
        <f t="shared" si="61"/>
        <v>55.82665,100</v>
      </c>
      <c r="I38" s="82" t="str">
        <f t="shared" si="86"/>
        <v>59.6399333333333,125</v>
      </c>
      <c r="J38" s="82" t="str">
        <f t="shared" si="62"/>
        <v>64.3689666666667,150</v>
      </c>
      <c r="K38" s="82" t="str">
        <f t="shared" si="63"/>
        <v>67.124875,162.5</v>
      </c>
      <c r="L38" s="82" t="str">
        <f t="shared" si="64"/>
        <v>72.3485666666667,180</v>
      </c>
      <c r="M38" s="82" t="str">
        <f t="shared" si="65"/>
        <v>77.0020966666667,197.5</v>
      </c>
      <c r="N38" s="84" t="str">
        <f t="shared" si="66"/>
        <v>82.0187802016667,215.8475</v>
      </c>
      <c r="P38" s="83">
        <f t="shared" si="67"/>
        <v>1.5</v>
      </c>
      <c r="Q38" s="81" t="s">
        <v>40</v>
      </c>
      <c r="R38" s="82" t="str">
        <f t="shared" si="68"/>
        <v>47.535,0</v>
      </c>
      <c r="S38" s="82" t="str">
        <f t="shared" si="69"/>
        <v>47.535,12.5</v>
      </c>
      <c r="T38" s="82" t="str">
        <f t="shared" si="70"/>
        <v>47.535,25</v>
      </c>
      <c r="U38" s="82" t="str">
        <f t="shared" si="71"/>
        <v>47.535,50</v>
      </c>
      <c r="V38" s="82" t="str">
        <f t="shared" si="72"/>
        <v>47.535,75</v>
      </c>
      <c r="W38" s="82" t="str">
        <f t="shared" si="73"/>
        <v>47.535,100</v>
      </c>
      <c r="X38" s="82" t="str">
        <f t="shared" si="74"/>
        <v>47.535,125</v>
      </c>
      <c r="Y38" s="82" t="str">
        <f t="shared" si="75"/>
        <v>47.535,150</v>
      </c>
      <c r="Z38" s="82" t="str">
        <f t="shared" si="76"/>
        <v>47.535,162.5</v>
      </c>
      <c r="AA38" s="82" t="str">
        <f t="shared" si="77"/>
        <v>47.535,180</v>
      </c>
      <c r="AB38" s="82" t="str">
        <f t="shared" si="78"/>
        <v>47.535,197.5</v>
      </c>
      <c r="AC38" s="84" t="str">
        <f t="shared" si="79"/>
        <v>47.535,215.8475</v>
      </c>
      <c r="AE38" s="83">
        <f t="shared" ref="AE38" si="87">P38</f>
        <v>1.5</v>
      </c>
      <c r="AF38" s="81" t="s">
        <v>46</v>
      </c>
      <c r="AG38" s="82" t="str">
        <f t="shared" si="81"/>
        <v>47.535,197.5</v>
      </c>
      <c r="AH38" s="91" t="str">
        <f t="shared" si="82"/>
        <v>77.0020966666667,197.5</v>
      </c>
      <c r="AJ38" s="83">
        <f t="shared" si="83"/>
        <v>1.5</v>
      </c>
      <c r="AK38" s="81" t="s">
        <v>82</v>
      </c>
      <c r="AL38" s="92" t="str">
        <f t="shared" si="84"/>
        <v>47.535,215.8475</v>
      </c>
      <c r="AM38" s="93" t="str">
        <f t="shared" si="85"/>
        <v>82.0187802016667,215.8475</v>
      </c>
      <c r="AS38" s="69">
        <v>2</v>
      </c>
      <c r="AT38" s="194" t="str">
        <f t="shared" si="43"/>
        <v>PO 63.38,0</v>
      </c>
      <c r="AU38" s="194" t="str">
        <f t="shared" si="44"/>
        <v>PO 63.8688166666667,12.5</v>
      </c>
      <c r="AV38" s="194" t="str">
        <f t="shared" si="45"/>
        <v>PO 64.7909583333333,25</v>
      </c>
      <c r="AW38" s="194" t="str">
        <f t="shared" si="46"/>
        <v>PO 67.3960916666667,50</v>
      </c>
      <c r="AX38" s="194" t="str">
        <f t="shared" si="47"/>
        <v>PO 70.6793583333333,75</v>
      </c>
      <c r="AY38" s="194" t="str">
        <f t="shared" si="48"/>
        <v>PO 74.8097416666667,100</v>
      </c>
      <c r="AZ38" s="194" t="str">
        <f t="shared" si="49"/>
        <v>PO 79.673375,125</v>
      </c>
      <c r="BA38" s="194" t="str">
        <f t="shared" si="50"/>
        <v>PO 85.4267583333333,150</v>
      </c>
      <c r="BB38" s="194" t="str">
        <f t="shared" si="51"/>
        <v>PO 88.6456,162.5</v>
      </c>
      <c r="BC38" s="194" t="str">
        <f t="shared" si="52"/>
        <v>PO 93.4211983333333,180</v>
      </c>
      <c r="BD38" s="194" t="str">
        <f t="shared" si="53"/>
        <v>PO 98.4151616666667,197.5</v>
      </c>
      <c r="BE38" s="194" t="str">
        <f t="shared" si="54"/>
        <v>PO 103.055231911667,213.6475</v>
      </c>
    </row>
    <row r="39" spans="1:57" ht="15" thickBot="1" x14ac:dyDescent="0.35">
      <c r="A39" s="83">
        <f t="shared" si="55"/>
        <v>2</v>
      </c>
      <c r="B39" s="81" t="s">
        <v>40</v>
      </c>
      <c r="C39" s="82" t="str">
        <f>IF(U$2&lt;$T8,IF(V$2&lt;$T8,U8,$S8),U8)&amp;","&amp;AR6</f>
        <v>63.38,0</v>
      </c>
      <c r="D39" s="82" t="str">
        <f t="shared" si="57"/>
        <v>63.8688166666667,12.5</v>
      </c>
      <c r="E39" s="82" t="str">
        <f t="shared" si="58"/>
        <v>64.7909583333333,25</v>
      </c>
      <c r="F39" s="82" t="str">
        <f t="shared" si="59"/>
        <v>67.3960916666667,50</v>
      </c>
      <c r="G39" s="82" t="str">
        <f t="shared" si="60"/>
        <v>70.6793583333333,75</v>
      </c>
      <c r="H39" s="82" t="str">
        <f t="shared" si="61"/>
        <v>74.8097416666667,100</v>
      </c>
      <c r="I39" s="82" t="str">
        <f t="shared" si="86"/>
        <v>79.673375,125</v>
      </c>
      <c r="J39" s="82" t="str">
        <f t="shared" si="62"/>
        <v>85.4267583333333,150</v>
      </c>
      <c r="K39" s="82" t="str">
        <f t="shared" si="63"/>
        <v>88.6456,162.5</v>
      </c>
      <c r="L39" s="82" t="str">
        <f t="shared" si="64"/>
        <v>93.4211983333333,180</v>
      </c>
      <c r="M39" s="82" t="str">
        <f t="shared" si="65"/>
        <v>98.4151616666667,197.5</v>
      </c>
      <c r="N39" s="84" t="str">
        <f t="shared" si="66"/>
        <v>103.055231911667,213.6475</v>
      </c>
      <c r="P39" s="83">
        <f t="shared" si="67"/>
        <v>2</v>
      </c>
      <c r="Q39" s="81" t="s">
        <v>40</v>
      </c>
      <c r="R39" s="82" t="str">
        <f t="shared" si="68"/>
        <v>63.38,0</v>
      </c>
      <c r="S39" s="82" t="str">
        <f t="shared" si="69"/>
        <v>63.38,12.5</v>
      </c>
      <c r="T39" s="82" t="str">
        <f t="shared" si="70"/>
        <v>63.38,25</v>
      </c>
      <c r="U39" s="82" t="str">
        <f t="shared" si="71"/>
        <v>63.38,50</v>
      </c>
      <c r="V39" s="82" t="str">
        <f t="shared" si="72"/>
        <v>63.38,75</v>
      </c>
      <c r="W39" s="82" t="str">
        <f t="shared" si="73"/>
        <v>63.38,100</v>
      </c>
      <c r="X39" s="82" t="str">
        <f t="shared" si="74"/>
        <v>63.38,125</v>
      </c>
      <c r="Y39" s="82" t="str">
        <f t="shared" si="75"/>
        <v>63.38,150</v>
      </c>
      <c r="Z39" s="82" t="str">
        <f t="shared" si="76"/>
        <v>63.38,162.5</v>
      </c>
      <c r="AA39" s="82" t="str">
        <f t="shared" si="77"/>
        <v>63.38,180</v>
      </c>
      <c r="AB39" s="82" t="str">
        <f t="shared" si="78"/>
        <v>63.38,197.5</v>
      </c>
      <c r="AC39" s="84" t="str">
        <f t="shared" si="79"/>
        <v>63.38,213.6475</v>
      </c>
      <c r="AE39" s="83">
        <f t="shared" si="80"/>
        <v>2</v>
      </c>
      <c r="AF39" s="81" t="s">
        <v>46</v>
      </c>
      <c r="AG39" s="82" t="str">
        <f t="shared" si="81"/>
        <v>63.38,197.5</v>
      </c>
      <c r="AH39" s="91" t="str">
        <f t="shared" si="82"/>
        <v>98.4151616666667,197.5</v>
      </c>
      <c r="AJ39" s="83">
        <f t="shared" si="83"/>
        <v>2</v>
      </c>
      <c r="AK39" s="81" t="s">
        <v>82</v>
      </c>
      <c r="AL39" s="92" t="str">
        <f t="shared" si="84"/>
        <v>63.38,213.6475</v>
      </c>
      <c r="AM39" s="93" t="str">
        <f t="shared" si="85"/>
        <v>103.055231911667,213.6475</v>
      </c>
      <c r="AS39" s="69">
        <v>3</v>
      </c>
      <c r="AT39" s="194" t="str">
        <f t="shared" si="43"/>
        <v>PO 95.07,0</v>
      </c>
      <c r="AU39" s="194" t="str">
        <f t="shared" si="44"/>
        <v>PO 96.1307333333333,12.5</v>
      </c>
      <c r="AV39" s="194" t="str">
        <f t="shared" si="45"/>
        <v>PO 97.7612083333333,25</v>
      </c>
      <c r="AW39" s="194" t="str">
        <f t="shared" si="46"/>
        <v>PO 102.300358333333,50</v>
      </c>
      <c r="AX39" s="194" t="str">
        <f t="shared" si="47"/>
        <v>PO 107.408908333333,75</v>
      </c>
      <c r="AY39" s="194" t="str">
        <f t="shared" si="48"/>
        <v>PO 113.534225,100</v>
      </c>
      <c r="AZ39" s="194" t="str">
        <f t="shared" si="49"/>
        <v>PO 120.322825,125</v>
      </c>
      <c r="BA39" s="194" t="str">
        <f t="shared" si="50"/>
        <v>PO 127.668708333333,150</v>
      </c>
      <c r="BB39" s="194" t="str">
        <f t="shared" si="51"/>
        <v>PO 131.444691666667,162.5</v>
      </c>
      <c r="BC39" s="194" t="str">
        <f t="shared" si="52"/>
        <v>PO 136.806201666667,180</v>
      </c>
      <c r="BD39" s="194" t="str">
        <f t="shared" si="53"/>
        <v>PO 142.239975,197.5</v>
      </c>
      <c r="BE39" s="194" t="str">
        <f t="shared" si="54"/>
        <v>PO 145.951922156667,209.615</v>
      </c>
    </row>
    <row r="40" spans="1:57" ht="15" thickBot="1" x14ac:dyDescent="0.35">
      <c r="A40" s="83">
        <f t="shared" si="55"/>
        <v>3</v>
      </c>
      <c r="B40" s="81" t="s">
        <v>40</v>
      </c>
      <c r="C40" s="82" t="str">
        <f t="shared" si="56"/>
        <v>95.07,0</v>
      </c>
      <c r="D40" s="82" t="str">
        <f t="shared" si="57"/>
        <v>96.1307333333333,12.5</v>
      </c>
      <c r="E40" s="82" t="str">
        <f t="shared" si="58"/>
        <v>97.7612083333333,25</v>
      </c>
      <c r="F40" s="82" t="str">
        <f t="shared" si="59"/>
        <v>102.300358333333,50</v>
      </c>
      <c r="G40" s="82" t="str">
        <f t="shared" si="60"/>
        <v>107.408908333333,75</v>
      </c>
      <c r="H40" s="82" t="str">
        <f t="shared" si="61"/>
        <v>113.534225,100</v>
      </c>
      <c r="I40" s="82" t="str">
        <f t="shared" si="86"/>
        <v>120.322825,125</v>
      </c>
      <c r="J40" s="82" t="str">
        <f t="shared" si="62"/>
        <v>127.668708333333,150</v>
      </c>
      <c r="K40" s="82" t="str">
        <f t="shared" si="63"/>
        <v>131.444691666667,162.5</v>
      </c>
      <c r="L40" s="82" t="str">
        <f t="shared" si="64"/>
        <v>136.806201666667,180</v>
      </c>
      <c r="M40" s="82" t="str">
        <f t="shared" si="65"/>
        <v>142.239975,197.5</v>
      </c>
      <c r="N40" s="84" t="str">
        <f t="shared" si="66"/>
        <v>145.951922156667,209.615</v>
      </c>
      <c r="P40" s="83">
        <f t="shared" si="67"/>
        <v>3</v>
      </c>
      <c r="Q40" s="81" t="s">
        <v>40</v>
      </c>
      <c r="R40" s="82" t="str">
        <f t="shared" si="68"/>
        <v>95.07,0</v>
      </c>
      <c r="S40" s="82" t="str">
        <f t="shared" si="69"/>
        <v>95.07,12.5</v>
      </c>
      <c r="T40" s="82" t="str">
        <f t="shared" si="70"/>
        <v>95.07,25</v>
      </c>
      <c r="U40" s="82" t="str">
        <f t="shared" si="71"/>
        <v>95.07,50</v>
      </c>
      <c r="V40" s="82" t="str">
        <f t="shared" si="72"/>
        <v>95.07,75</v>
      </c>
      <c r="W40" s="82" t="str">
        <f t="shared" si="73"/>
        <v>95.07,100</v>
      </c>
      <c r="X40" s="82" t="str">
        <f t="shared" si="74"/>
        <v>95.07,125</v>
      </c>
      <c r="Y40" s="82" t="str">
        <f t="shared" si="75"/>
        <v>95.07,150</v>
      </c>
      <c r="Z40" s="82" t="str">
        <f t="shared" si="76"/>
        <v>95.07,162.5</v>
      </c>
      <c r="AA40" s="82" t="str">
        <f t="shared" si="77"/>
        <v>95.07,180</v>
      </c>
      <c r="AB40" s="82" t="str">
        <f t="shared" si="78"/>
        <v>95.07,197.5</v>
      </c>
      <c r="AC40" s="84" t="str">
        <f t="shared" si="79"/>
        <v>95.07,209.615</v>
      </c>
      <c r="AE40" s="83">
        <f t="shared" si="80"/>
        <v>3</v>
      </c>
      <c r="AF40" s="81" t="s">
        <v>46</v>
      </c>
      <c r="AG40" s="82" t="str">
        <f t="shared" si="81"/>
        <v>95.07,197.5</v>
      </c>
      <c r="AH40" s="91" t="str">
        <f t="shared" si="82"/>
        <v>142.239975,197.5</v>
      </c>
      <c r="AJ40" s="83">
        <f t="shared" si="83"/>
        <v>3</v>
      </c>
      <c r="AK40" s="81" t="s">
        <v>82</v>
      </c>
      <c r="AL40" s="92" t="str">
        <f t="shared" si="84"/>
        <v>95.07,209.615</v>
      </c>
      <c r="AM40" s="93" t="str">
        <f t="shared" si="85"/>
        <v>145.951922156667,209.615</v>
      </c>
      <c r="AS40" s="69">
        <v>4</v>
      </c>
      <c r="AT40" s="194" t="str">
        <f t="shared" si="43"/>
        <v>PO 126.76,0</v>
      </c>
      <c r="AU40" s="194" t="str">
        <f t="shared" si="44"/>
        <v>PO 128.752625,12.5</v>
      </c>
      <c r="AV40" s="194" t="str">
        <f t="shared" si="45"/>
        <v>PO 131.556116666667,25</v>
      </c>
      <c r="AW40" s="194" t="str">
        <f t="shared" si="46"/>
        <v>PO 137.956616666667,50</v>
      </c>
      <c r="AX40" s="194" t="str">
        <f t="shared" si="47"/>
        <v>PO 144.837733333333,75</v>
      </c>
      <c r="AY40" s="194" t="str">
        <f t="shared" si="48"/>
        <v>PO 152.472316666667,100</v>
      </c>
      <c r="AZ40" s="194" t="str">
        <f t="shared" si="49"/>
        <v>PO 160.342066666667,125</v>
      </c>
      <c r="BA40" s="194" t="str">
        <f t="shared" si="50"/>
        <v>PO 168.30235,150</v>
      </c>
      <c r="BB40" s="194" t="str">
        <f t="shared" si="51"/>
        <v>PO 172.301483333333,162.5</v>
      </c>
      <c r="BC40" s="194" t="str">
        <f t="shared" si="52"/>
        <v>PO 177.916405,180</v>
      </c>
      <c r="BD40" s="194" t="str">
        <f t="shared" si="53"/>
        <v>PO 183.547438333333,197.5</v>
      </c>
      <c r="BE40" s="194" t="str">
        <f t="shared" si="54"/>
        <v>PO 186.525395098333,206.9425</v>
      </c>
    </row>
    <row r="41" spans="1:57" ht="15" thickBot="1" x14ac:dyDescent="0.35">
      <c r="A41" s="83">
        <f t="shared" si="55"/>
        <v>4</v>
      </c>
      <c r="B41" s="81" t="s">
        <v>40</v>
      </c>
      <c r="C41" s="82" t="str">
        <f t="shared" si="56"/>
        <v>126.76,0</v>
      </c>
      <c r="D41" s="82" t="str">
        <f t="shared" si="57"/>
        <v>128.752625,12.5</v>
      </c>
      <c r="E41" s="82" t="str">
        <f t="shared" si="58"/>
        <v>131.556116666667,25</v>
      </c>
      <c r="F41" s="82" t="str">
        <f t="shared" si="59"/>
        <v>137.956616666667,50</v>
      </c>
      <c r="G41" s="82" t="str">
        <f t="shared" si="60"/>
        <v>144.837733333333,75</v>
      </c>
      <c r="H41" s="82" t="str">
        <f t="shared" si="61"/>
        <v>152.472316666667,100</v>
      </c>
      <c r="I41" s="82" t="str">
        <f t="shared" si="86"/>
        <v>160.342066666667,125</v>
      </c>
      <c r="J41" s="82" t="str">
        <f t="shared" si="62"/>
        <v>168.30235,150</v>
      </c>
      <c r="K41" s="82" t="str">
        <f t="shared" si="63"/>
        <v>172.301483333333,162.5</v>
      </c>
      <c r="L41" s="82" t="str">
        <f t="shared" si="64"/>
        <v>177.916405,180</v>
      </c>
      <c r="M41" s="82" t="str">
        <f t="shared" si="65"/>
        <v>183.547438333333,197.5</v>
      </c>
      <c r="N41" s="84" t="str">
        <f t="shared" si="66"/>
        <v>186.525395098333,206.9425</v>
      </c>
      <c r="P41" s="83">
        <f t="shared" si="67"/>
        <v>4</v>
      </c>
      <c r="Q41" s="81" t="s">
        <v>40</v>
      </c>
      <c r="R41" s="82" t="str">
        <f t="shared" si="68"/>
        <v>126.76,0</v>
      </c>
      <c r="S41" s="82" t="str">
        <f t="shared" si="69"/>
        <v>126.76,12.5</v>
      </c>
      <c r="T41" s="82" t="str">
        <f t="shared" si="70"/>
        <v>126.76,25</v>
      </c>
      <c r="U41" s="82" t="str">
        <f t="shared" si="71"/>
        <v>126.76,50</v>
      </c>
      <c r="V41" s="82" t="str">
        <f t="shared" si="72"/>
        <v>126.76,75</v>
      </c>
      <c r="W41" s="82" t="str">
        <f t="shared" si="73"/>
        <v>126.76,100</v>
      </c>
      <c r="X41" s="82" t="str">
        <f t="shared" si="74"/>
        <v>126.76,125</v>
      </c>
      <c r="Y41" s="82" t="str">
        <f t="shared" si="75"/>
        <v>126.76,150</v>
      </c>
      <c r="Z41" s="82" t="str">
        <f t="shared" si="76"/>
        <v>126.76,162.5</v>
      </c>
      <c r="AA41" s="82" t="str">
        <f t="shared" si="77"/>
        <v>126.76,180</v>
      </c>
      <c r="AB41" s="82" t="str">
        <f t="shared" si="78"/>
        <v>126.76,197.5</v>
      </c>
      <c r="AC41" s="84" t="str">
        <f t="shared" si="79"/>
        <v>126.76,206.9425</v>
      </c>
      <c r="AE41" s="83">
        <f t="shared" si="80"/>
        <v>4</v>
      </c>
      <c r="AF41" s="81" t="s">
        <v>46</v>
      </c>
      <c r="AG41" s="82" t="str">
        <f t="shared" si="81"/>
        <v>126.76,197.5</v>
      </c>
      <c r="AH41" s="91" t="str">
        <f t="shared" si="82"/>
        <v>183.547438333333,197.5</v>
      </c>
      <c r="AJ41" s="83">
        <f t="shared" si="83"/>
        <v>4</v>
      </c>
      <c r="AK41" s="81" t="s">
        <v>82</v>
      </c>
      <c r="AL41" s="92" t="str">
        <f t="shared" si="84"/>
        <v>126.76,206.9425</v>
      </c>
      <c r="AM41" s="93" t="str">
        <f t="shared" si="85"/>
        <v>186.525395098333,206.9425</v>
      </c>
      <c r="AS41" s="69">
        <v>5</v>
      </c>
      <c r="AT41" s="194" t="str">
        <f t="shared" si="43"/>
        <v>PO 158.45,0</v>
      </c>
      <c r="AU41" s="194" t="str">
        <f t="shared" si="44"/>
        <v>PO 161.3001,12.5</v>
      </c>
      <c r="AV41" s="194" t="str">
        <f t="shared" si="45"/>
        <v>PO 164.753266666667,25</v>
      </c>
      <c r="AW41" s="194" t="str">
        <f t="shared" si="46"/>
        <v>PO 172.4313,50</v>
      </c>
      <c r="AX41" s="194" t="str">
        <f t="shared" si="47"/>
        <v>PO 180.3363,75</v>
      </c>
      <c r="AY41" s="194" t="str">
        <f t="shared" si="48"/>
        <v>PO 188.426066666667,100</v>
      </c>
      <c r="AZ41" s="194" t="str">
        <f t="shared" si="49"/>
        <v>PO 196.540366666667,125</v>
      </c>
      <c r="BA41" s="194" t="str">
        <f t="shared" si="50"/>
        <v>PO 204.663483333333,150</v>
      </c>
      <c r="BB41" s="194" t="str">
        <f t="shared" si="51"/>
        <v>PO 208.727283333333,162.5</v>
      </c>
      <c r="BC41" s="194" t="str">
        <f t="shared" si="52"/>
        <v>PO 214.41861,180</v>
      </c>
      <c r="BD41" s="194" t="str">
        <f t="shared" si="53"/>
        <v>PO 220.111826666667,197.5</v>
      </c>
      <c r="BE41" s="194" t="str">
        <f t="shared" si="54"/>
        <v>PO 222.288893786667,204.34</v>
      </c>
    </row>
    <row r="42" spans="1:57" ht="15" thickBot="1" x14ac:dyDescent="0.35">
      <c r="A42" s="83">
        <f t="shared" si="55"/>
        <v>5</v>
      </c>
      <c r="B42" s="81" t="s">
        <v>40</v>
      </c>
      <c r="C42" s="82" t="str">
        <f t="shared" si="56"/>
        <v>158.45,0</v>
      </c>
      <c r="D42" s="82" t="str">
        <f t="shared" si="57"/>
        <v>161.3001,12.5</v>
      </c>
      <c r="E42" s="82" t="str">
        <f t="shared" si="58"/>
        <v>164.753266666667,25</v>
      </c>
      <c r="F42" s="82" t="str">
        <f t="shared" si="59"/>
        <v>172.4313,50</v>
      </c>
      <c r="G42" s="82" t="str">
        <f t="shared" si="60"/>
        <v>180.3363,75</v>
      </c>
      <c r="H42" s="82" t="str">
        <f t="shared" si="61"/>
        <v>188.426066666667,100</v>
      </c>
      <c r="I42" s="82" t="str">
        <f t="shared" si="86"/>
        <v>196.540366666667,125</v>
      </c>
      <c r="J42" s="82" t="str">
        <f t="shared" si="62"/>
        <v>204.663483333333,150</v>
      </c>
      <c r="K42" s="82" t="str">
        <f t="shared" si="63"/>
        <v>208.727283333333,162.5</v>
      </c>
      <c r="L42" s="82" t="str">
        <f t="shared" si="64"/>
        <v>214.41861,180</v>
      </c>
      <c r="M42" s="82" t="str">
        <f t="shared" si="65"/>
        <v>220.111826666667,197.5</v>
      </c>
      <c r="N42" s="84" t="str">
        <f t="shared" si="66"/>
        <v>222.288893786667,204.34</v>
      </c>
      <c r="P42" s="83">
        <f t="shared" si="67"/>
        <v>5</v>
      </c>
      <c r="Q42" s="81" t="s">
        <v>40</v>
      </c>
      <c r="R42" s="82" t="str">
        <f t="shared" si="68"/>
        <v>158.45,0</v>
      </c>
      <c r="S42" s="82" t="str">
        <f t="shared" si="69"/>
        <v>158.45,12.5</v>
      </c>
      <c r="T42" s="82" t="str">
        <f t="shared" si="70"/>
        <v>158.45,25</v>
      </c>
      <c r="U42" s="82" t="str">
        <f t="shared" si="71"/>
        <v>158.45,50</v>
      </c>
      <c r="V42" s="82" t="str">
        <f t="shared" si="72"/>
        <v>158.45,75</v>
      </c>
      <c r="W42" s="82" t="str">
        <f t="shared" si="73"/>
        <v>158.45,100</v>
      </c>
      <c r="X42" s="82" t="str">
        <f t="shared" si="74"/>
        <v>158.45,125</v>
      </c>
      <c r="Y42" s="82" t="str">
        <f t="shared" si="75"/>
        <v>158.45,150</v>
      </c>
      <c r="Z42" s="82" t="str">
        <f t="shared" si="76"/>
        <v>158.45,162.5</v>
      </c>
      <c r="AA42" s="82" t="str">
        <f t="shared" si="77"/>
        <v>158.45,180</v>
      </c>
      <c r="AB42" s="82" t="str">
        <f t="shared" si="78"/>
        <v>158.45,197.5</v>
      </c>
      <c r="AC42" s="84" t="str">
        <f t="shared" si="79"/>
        <v>158.45,204.34</v>
      </c>
      <c r="AE42" s="83">
        <f t="shared" si="80"/>
        <v>5</v>
      </c>
      <c r="AF42" s="81" t="s">
        <v>46</v>
      </c>
      <c r="AG42" s="82" t="str">
        <f t="shared" si="81"/>
        <v>158.45,197.5</v>
      </c>
      <c r="AH42" s="91" t="str">
        <f t="shared" si="82"/>
        <v>220.111826666667,197.5</v>
      </c>
      <c r="AJ42" s="83">
        <f t="shared" si="83"/>
        <v>5</v>
      </c>
      <c r="AK42" s="81" t="s">
        <v>82</v>
      </c>
      <c r="AL42" s="92" t="str">
        <f t="shared" si="84"/>
        <v>158.45,204.34</v>
      </c>
      <c r="AM42" s="93" t="str">
        <f t="shared" si="85"/>
        <v>222.288893786667,204.34</v>
      </c>
      <c r="AS42" s="69">
        <v>6</v>
      </c>
      <c r="AT42" s="194" t="str">
        <f t="shared" si="43"/>
        <v>PO 190.14,0</v>
      </c>
      <c r="AU42" s="194" t="str">
        <f t="shared" si="44"/>
        <v>PO 193.524766666667,12.5</v>
      </c>
      <c r="AV42" s="194" t="str">
        <f t="shared" si="45"/>
        <v>PO 197.475783333333,25</v>
      </c>
      <c r="AW42" s="194" t="str">
        <f t="shared" si="46"/>
        <v>PO 205.562666666667,50</v>
      </c>
      <c r="AX42" s="194" t="str">
        <f t="shared" si="47"/>
        <v>PO 213.68135,75</v>
      </c>
      <c r="AY42" s="194" t="str">
        <f t="shared" si="48"/>
        <v>PO 221.822683333333,100</v>
      </c>
      <c r="AZ42" s="194" t="str">
        <f t="shared" si="49"/>
        <v>PO 229.96525,125</v>
      </c>
      <c r="BA42" s="194" t="str">
        <f t="shared" si="50"/>
        <v>PO 238.108666666667,150</v>
      </c>
      <c r="BB42" s="194" t="str">
        <f t="shared" si="51"/>
        <v>PO 242.18065,162.5</v>
      </c>
      <c r="BC42" s="194" t="str">
        <f t="shared" si="52"/>
        <v>PO 247.88145,180</v>
      </c>
      <c r="BD42" s="194" t="str">
        <f t="shared" si="53"/>
        <v>PO 253.58225,197.5</v>
      </c>
      <c r="BE42" s="194" t="str">
        <f t="shared" si="54"/>
        <v>PO 254.9440384,201.77</v>
      </c>
    </row>
    <row r="43" spans="1:57" ht="15" thickBot="1" x14ac:dyDescent="0.35">
      <c r="A43" s="83">
        <f t="shared" si="55"/>
        <v>6</v>
      </c>
      <c r="B43" s="81" t="s">
        <v>40</v>
      </c>
      <c r="C43" s="82" t="str">
        <f t="shared" si="56"/>
        <v>190.14,0</v>
      </c>
      <c r="D43" s="82" t="str">
        <f t="shared" si="57"/>
        <v>193.524766666667,12.5</v>
      </c>
      <c r="E43" s="82" t="str">
        <f t="shared" si="58"/>
        <v>197.475783333333,25</v>
      </c>
      <c r="F43" s="82" t="str">
        <f t="shared" si="59"/>
        <v>205.562666666667,50</v>
      </c>
      <c r="G43" s="82" t="str">
        <f t="shared" si="60"/>
        <v>213.68135,75</v>
      </c>
      <c r="H43" s="82" t="str">
        <f t="shared" si="61"/>
        <v>221.822683333333,100</v>
      </c>
      <c r="I43" s="82" t="str">
        <f t="shared" si="86"/>
        <v>229.96525,125</v>
      </c>
      <c r="J43" s="82" t="str">
        <f t="shared" si="62"/>
        <v>238.108666666667,150</v>
      </c>
      <c r="K43" s="82" t="str">
        <f t="shared" si="63"/>
        <v>242.18065,162.5</v>
      </c>
      <c r="L43" s="82" t="str">
        <f t="shared" si="64"/>
        <v>247.88145,180</v>
      </c>
      <c r="M43" s="82" t="str">
        <f t="shared" si="65"/>
        <v>253.58225,197.5</v>
      </c>
      <c r="N43" s="84" t="str">
        <f t="shared" si="66"/>
        <v>254.9440384,201.77</v>
      </c>
      <c r="P43" s="83">
        <f t="shared" si="67"/>
        <v>6</v>
      </c>
      <c r="Q43" s="81" t="s">
        <v>40</v>
      </c>
      <c r="R43" s="82" t="str">
        <f t="shared" si="68"/>
        <v>190.14,0</v>
      </c>
      <c r="S43" s="82" t="str">
        <f t="shared" si="69"/>
        <v>190.14,12.5</v>
      </c>
      <c r="T43" s="82" t="str">
        <f t="shared" si="70"/>
        <v>190.14,25</v>
      </c>
      <c r="U43" s="82" t="str">
        <f t="shared" si="71"/>
        <v>190.14,50</v>
      </c>
      <c r="V43" s="82" t="str">
        <f t="shared" si="72"/>
        <v>190.14,75</v>
      </c>
      <c r="W43" s="82" t="str">
        <f t="shared" si="73"/>
        <v>190.14,100</v>
      </c>
      <c r="X43" s="82" t="str">
        <f t="shared" si="74"/>
        <v>190.14,125</v>
      </c>
      <c r="Y43" s="82" t="str">
        <f t="shared" si="75"/>
        <v>190.14,150</v>
      </c>
      <c r="Z43" s="82" t="str">
        <f t="shared" si="76"/>
        <v>190.14,162.5</v>
      </c>
      <c r="AA43" s="82" t="str">
        <f t="shared" si="77"/>
        <v>190.14,180</v>
      </c>
      <c r="AB43" s="82" t="str">
        <f t="shared" si="78"/>
        <v>190.14,197.5</v>
      </c>
      <c r="AC43" s="84" t="str">
        <f t="shared" si="79"/>
        <v>190.14,201.77</v>
      </c>
      <c r="AE43" s="83">
        <f t="shared" si="80"/>
        <v>6</v>
      </c>
      <c r="AF43" s="81" t="s">
        <v>46</v>
      </c>
      <c r="AG43" s="82" t="str">
        <f t="shared" si="81"/>
        <v>190.14,197.5</v>
      </c>
      <c r="AH43" s="91" t="str">
        <f t="shared" si="82"/>
        <v>253.58225,197.5</v>
      </c>
      <c r="AJ43" s="83">
        <f t="shared" si="83"/>
        <v>6</v>
      </c>
      <c r="AK43" s="81" t="s">
        <v>82</v>
      </c>
      <c r="AL43" s="92" t="str">
        <f t="shared" si="84"/>
        <v>190.14,201.77</v>
      </c>
      <c r="AM43" s="93" t="str">
        <f t="shared" si="85"/>
        <v>254.9440384,201.77</v>
      </c>
      <c r="AS43" s="69">
        <v>7</v>
      </c>
      <c r="AT43" s="194" t="str">
        <f t="shared" si="43"/>
        <v>PO 221.83,0</v>
      </c>
      <c r="AU43" s="194" t="str">
        <f t="shared" si="44"/>
        <v>PO 225.653933333333,12.5</v>
      </c>
      <c r="AV43" s="194" t="str">
        <f t="shared" si="45"/>
        <v>PO 229.673058333333,25</v>
      </c>
      <c r="AW43" s="194" t="str">
        <f t="shared" si="46"/>
        <v>PO 237.803791666667,50</v>
      </c>
      <c r="AX43" s="194" t="str">
        <f t="shared" si="47"/>
        <v>PO 245.945525,75</v>
      </c>
      <c r="AY43" s="194" t="str">
        <f t="shared" si="48"/>
        <v>PO 254.089525,100</v>
      </c>
      <c r="AZ43" s="194" t="str">
        <f t="shared" si="49"/>
        <v>PO 262.233525,125</v>
      </c>
      <c r="BA43" s="194" t="str">
        <f t="shared" si="50"/>
        <v>PO 270.377525,150</v>
      </c>
      <c r="BB43" s="194" t="str">
        <f t="shared" si="51"/>
        <v>PO 274.449525,162.5</v>
      </c>
      <c r="BC43" s="194" t="str">
        <f t="shared" si="52"/>
        <v>PO 280.150325,180</v>
      </c>
      <c r="BD43" s="194" t="str">
        <f t="shared" si="53"/>
        <v>PO 285.851125,197.5</v>
      </c>
      <c r="BE43" s="194" t="str">
        <f t="shared" si="54"/>
        <v>PO 286.764170466667,200.36</v>
      </c>
    </row>
    <row r="44" spans="1:57" ht="15" thickBot="1" x14ac:dyDescent="0.35">
      <c r="A44" s="83">
        <f t="shared" si="55"/>
        <v>7</v>
      </c>
      <c r="B44" s="81" t="s">
        <v>40</v>
      </c>
      <c r="C44" s="82" t="str">
        <f t="shared" si="56"/>
        <v>221.83,0</v>
      </c>
      <c r="D44" s="82" t="str">
        <f t="shared" si="57"/>
        <v>225.653933333333,12.5</v>
      </c>
      <c r="E44" s="82" t="str">
        <f t="shared" si="58"/>
        <v>229.673058333333,25</v>
      </c>
      <c r="F44" s="82" t="str">
        <f t="shared" si="59"/>
        <v>237.803791666667,50</v>
      </c>
      <c r="G44" s="82" t="str">
        <f t="shared" si="60"/>
        <v>245.945525,75</v>
      </c>
      <c r="H44" s="82" t="str">
        <f t="shared" si="61"/>
        <v>254.089525,100</v>
      </c>
      <c r="I44" s="82" t="str">
        <f t="shared" si="86"/>
        <v>262.233525,125</v>
      </c>
      <c r="J44" s="82" t="str">
        <f t="shared" si="62"/>
        <v>270.377525,150</v>
      </c>
      <c r="K44" s="82" t="str">
        <f t="shared" si="63"/>
        <v>274.449525,162.5</v>
      </c>
      <c r="L44" s="82" t="str">
        <f t="shared" si="64"/>
        <v>280.150325,180</v>
      </c>
      <c r="M44" s="82" t="str">
        <f t="shared" si="65"/>
        <v>285.851125,197.5</v>
      </c>
      <c r="N44" s="84" t="str">
        <f t="shared" si="66"/>
        <v>286.764170466667,200.36</v>
      </c>
      <c r="P44" s="83">
        <f t="shared" si="67"/>
        <v>7</v>
      </c>
      <c r="Q44" s="81" t="s">
        <v>40</v>
      </c>
      <c r="R44" s="82" t="str">
        <f t="shared" si="68"/>
        <v>221.83,0</v>
      </c>
      <c r="S44" s="82" t="str">
        <f t="shared" si="69"/>
        <v>221.83,12.5</v>
      </c>
      <c r="T44" s="82" t="str">
        <f t="shared" si="70"/>
        <v>221.83,25</v>
      </c>
      <c r="U44" s="82" t="str">
        <f t="shared" si="71"/>
        <v>221.83,50</v>
      </c>
      <c r="V44" s="82" t="str">
        <f t="shared" si="72"/>
        <v>221.83,75</v>
      </c>
      <c r="W44" s="82" t="str">
        <f t="shared" si="73"/>
        <v>221.83,100</v>
      </c>
      <c r="X44" s="82" t="str">
        <f t="shared" si="74"/>
        <v>221.83,125</v>
      </c>
      <c r="Y44" s="82" t="str">
        <f t="shared" si="75"/>
        <v>221.83,150</v>
      </c>
      <c r="Z44" s="82" t="str">
        <f t="shared" si="76"/>
        <v>221.83,162.5</v>
      </c>
      <c r="AA44" s="82" t="str">
        <f t="shared" si="77"/>
        <v>221.83,180</v>
      </c>
      <c r="AB44" s="82" t="str">
        <f t="shared" si="78"/>
        <v>221.83,197.5</v>
      </c>
      <c r="AC44" s="84" t="str">
        <f t="shared" si="79"/>
        <v>221.83,200.36</v>
      </c>
      <c r="AE44" s="83">
        <f t="shared" si="80"/>
        <v>7</v>
      </c>
      <c r="AF44" s="81" t="s">
        <v>46</v>
      </c>
      <c r="AG44" s="82" t="str">
        <f t="shared" si="81"/>
        <v>221.83,197.5</v>
      </c>
      <c r="AH44" s="91" t="str">
        <f t="shared" si="82"/>
        <v>285.851125,197.5</v>
      </c>
      <c r="AJ44" s="83">
        <f t="shared" si="83"/>
        <v>7</v>
      </c>
      <c r="AK44" s="81" t="s">
        <v>82</v>
      </c>
      <c r="AL44" s="92" t="str">
        <f t="shared" si="84"/>
        <v>221.83,200.36</v>
      </c>
      <c r="AM44" s="93" t="str">
        <f t="shared" si="85"/>
        <v>286.764170466667,200.36</v>
      </c>
      <c r="AS44" s="69">
        <v>8</v>
      </c>
      <c r="AT44" s="194" t="str">
        <f t="shared" si="43"/>
        <v>PO 253.52,0</v>
      </c>
      <c r="AU44" s="194" t="str">
        <f t="shared" si="44"/>
        <v>PO 257.460966666667,12.5</v>
      </c>
      <c r="AV44" s="194" t="str">
        <f t="shared" si="45"/>
        <v>PO 261.532966666667,25</v>
      </c>
      <c r="AW44" s="194" t="str">
        <f t="shared" si="46"/>
        <v>PO 269.676966666667,50</v>
      </c>
      <c r="AX44" s="194" t="str">
        <f t="shared" si="47"/>
        <v>PO 277.820966666667,75</v>
      </c>
      <c r="AY44" s="194" t="str">
        <f t="shared" si="48"/>
        <v>PO 285.964966666667,100</v>
      </c>
      <c r="AZ44" s="194" t="str">
        <f t="shared" si="49"/>
        <v>PO 294.108966666667,125</v>
      </c>
      <c r="BA44" s="194" t="str">
        <f t="shared" si="50"/>
        <v>PO 302.252966666667,150</v>
      </c>
      <c r="BB44" s="194" t="str">
        <f t="shared" si="51"/>
        <v>PO 306.324966666667,162.5</v>
      </c>
      <c r="BC44" s="194" t="str">
        <f t="shared" si="52"/>
        <v>PO 312.025766666667,180</v>
      </c>
      <c r="BD44" s="194" t="str">
        <f t="shared" si="53"/>
        <v>PO 317.726566666667,197.5</v>
      </c>
      <c r="BE44" s="194" t="str">
        <f t="shared" si="54"/>
        <v>PO 318.305745,199.3125</v>
      </c>
    </row>
    <row r="45" spans="1:57" ht="15" thickBot="1" x14ac:dyDescent="0.35">
      <c r="A45" s="83">
        <f t="shared" si="55"/>
        <v>8</v>
      </c>
      <c r="B45" s="81" t="s">
        <v>40</v>
      </c>
      <c r="C45" s="82" t="str">
        <f t="shared" si="56"/>
        <v>253.52,0</v>
      </c>
      <c r="D45" s="82" t="str">
        <f t="shared" si="57"/>
        <v>257.460966666667,12.5</v>
      </c>
      <c r="E45" s="82" t="str">
        <f t="shared" si="58"/>
        <v>261.532966666667,25</v>
      </c>
      <c r="F45" s="82" t="str">
        <f t="shared" si="59"/>
        <v>269.676966666667,50</v>
      </c>
      <c r="G45" s="82" t="str">
        <f t="shared" si="60"/>
        <v>277.820966666667,75</v>
      </c>
      <c r="H45" s="82" t="str">
        <f t="shared" si="61"/>
        <v>285.964966666667,100</v>
      </c>
      <c r="I45" s="82" t="str">
        <f t="shared" si="86"/>
        <v>294.108966666667,125</v>
      </c>
      <c r="J45" s="82" t="str">
        <f t="shared" si="62"/>
        <v>302.252966666667,150</v>
      </c>
      <c r="K45" s="82" t="str">
        <f t="shared" si="63"/>
        <v>306.324966666667,162.5</v>
      </c>
      <c r="L45" s="82" t="str">
        <f t="shared" si="64"/>
        <v>312.025766666667,180</v>
      </c>
      <c r="M45" s="82" t="str">
        <f t="shared" si="65"/>
        <v>317.726566666667,197.5</v>
      </c>
      <c r="N45" s="84" t="str">
        <f t="shared" si="66"/>
        <v>318.305745,199.3125</v>
      </c>
      <c r="P45" s="83">
        <f t="shared" si="67"/>
        <v>8</v>
      </c>
      <c r="Q45" s="81" t="s">
        <v>40</v>
      </c>
      <c r="R45" s="82" t="str">
        <f t="shared" si="68"/>
        <v>253.52,0</v>
      </c>
      <c r="S45" s="82" t="str">
        <f t="shared" si="69"/>
        <v>253.52,12.5</v>
      </c>
      <c r="T45" s="82" t="str">
        <f t="shared" si="70"/>
        <v>253.52,25</v>
      </c>
      <c r="U45" s="82" t="str">
        <f t="shared" si="71"/>
        <v>253.52,50</v>
      </c>
      <c r="V45" s="82" t="str">
        <f t="shared" si="72"/>
        <v>253.52,75</v>
      </c>
      <c r="W45" s="82" t="str">
        <f t="shared" si="73"/>
        <v>253.52,100</v>
      </c>
      <c r="X45" s="82" t="str">
        <f t="shared" si="74"/>
        <v>253.52,125</v>
      </c>
      <c r="Y45" s="82" t="str">
        <f t="shared" si="75"/>
        <v>253.52,150</v>
      </c>
      <c r="Z45" s="82" t="str">
        <f t="shared" si="76"/>
        <v>253.52,162.5</v>
      </c>
      <c r="AA45" s="82" t="str">
        <f t="shared" si="77"/>
        <v>253.52,180</v>
      </c>
      <c r="AB45" s="82" t="str">
        <f t="shared" si="78"/>
        <v>253.52,197.5</v>
      </c>
      <c r="AC45" s="84" t="str">
        <f t="shared" si="79"/>
        <v>253.52,199.3125</v>
      </c>
      <c r="AE45" s="83">
        <f t="shared" si="80"/>
        <v>8</v>
      </c>
      <c r="AF45" s="81" t="s">
        <v>46</v>
      </c>
      <c r="AG45" s="82" t="str">
        <f t="shared" si="81"/>
        <v>253.52,197.5</v>
      </c>
      <c r="AH45" s="91" t="str">
        <f t="shared" si="82"/>
        <v>317.726566666667,197.5</v>
      </c>
      <c r="AJ45" s="83">
        <f t="shared" si="83"/>
        <v>8</v>
      </c>
      <c r="AK45" s="81" t="s">
        <v>82</v>
      </c>
      <c r="AL45" s="92" t="str">
        <f t="shared" si="84"/>
        <v>253.52,199.3125</v>
      </c>
      <c r="AM45" s="93" t="str">
        <f t="shared" si="85"/>
        <v>318.305745,199.3125</v>
      </c>
      <c r="AS45" s="69">
        <v>9</v>
      </c>
      <c r="AT45" s="194" t="str">
        <f t="shared" si="43"/>
        <v>PO 285.21,0</v>
      </c>
      <c r="AU45" s="194" t="str">
        <f t="shared" si="44"/>
        <v>PO 289.150966666667,12.5</v>
      </c>
      <c r="AV45" s="194" t="str">
        <f t="shared" si="45"/>
        <v>PO 293.222966666667,25</v>
      </c>
      <c r="AW45" s="194" t="str">
        <f t="shared" si="46"/>
        <v>PO 301.366966666667,50</v>
      </c>
      <c r="AX45" s="194" t="str">
        <f t="shared" si="47"/>
        <v>PO 309.510966666667,75</v>
      </c>
      <c r="AY45" s="194" t="str">
        <f t="shared" si="48"/>
        <v>PO 317.654966666667,100</v>
      </c>
      <c r="AZ45" s="194" t="str">
        <f t="shared" si="49"/>
        <v>PO 325.798966666667,125</v>
      </c>
      <c r="BA45" s="194" t="str">
        <f t="shared" si="50"/>
        <v>PO 333.942966666667,150</v>
      </c>
      <c r="BB45" s="194" t="str">
        <f t="shared" si="51"/>
        <v>PO 338.014966666667,162.5</v>
      </c>
      <c r="BC45" s="194" t="str">
        <f t="shared" si="52"/>
        <v>PO 343.715766666667,180</v>
      </c>
      <c r="BD45" s="194" t="str">
        <f t="shared" si="53"/>
        <v>PO 349.416566666667,197.5</v>
      </c>
      <c r="BE45" s="194" t="str">
        <f t="shared" si="54"/>
        <v>PO 349.735387616667,198.4975</v>
      </c>
    </row>
    <row r="46" spans="1:57" ht="15" thickBot="1" x14ac:dyDescent="0.35">
      <c r="A46" s="83">
        <f t="shared" si="55"/>
        <v>9</v>
      </c>
      <c r="B46" s="81" t="s">
        <v>40</v>
      </c>
      <c r="C46" s="82" t="str">
        <f t="shared" si="56"/>
        <v>285.21,0</v>
      </c>
      <c r="D46" s="82" t="str">
        <f t="shared" si="57"/>
        <v>289.150966666667,12.5</v>
      </c>
      <c r="E46" s="82" t="str">
        <f t="shared" si="58"/>
        <v>293.222966666667,25</v>
      </c>
      <c r="F46" s="82" t="str">
        <f t="shared" si="59"/>
        <v>301.366966666667,50</v>
      </c>
      <c r="G46" s="82" t="str">
        <f t="shared" si="60"/>
        <v>309.510966666667,75</v>
      </c>
      <c r="H46" s="82" t="str">
        <f t="shared" si="61"/>
        <v>317.654966666667,100</v>
      </c>
      <c r="I46" s="82" t="str">
        <f t="shared" si="86"/>
        <v>325.798966666667,125</v>
      </c>
      <c r="J46" s="82" t="str">
        <f t="shared" si="62"/>
        <v>333.942966666667,150</v>
      </c>
      <c r="K46" s="82" t="str">
        <f t="shared" si="63"/>
        <v>338.014966666667,162.5</v>
      </c>
      <c r="L46" s="82" t="str">
        <f t="shared" si="64"/>
        <v>343.715766666667,180</v>
      </c>
      <c r="M46" s="82" t="str">
        <f t="shared" si="65"/>
        <v>349.416566666667,197.5</v>
      </c>
      <c r="N46" s="84" t="str">
        <f t="shared" si="66"/>
        <v>349.735387616667,198.4975</v>
      </c>
      <c r="P46" s="83">
        <f t="shared" si="67"/>
        <v>9</v>
      </c>
      <c r="Q46" s="81" t="s">
        <v>40</v>
      </c>
      <c r="R46" s="82" t="str">
        <f t="shared" si="68"/>
        <v>285.21,0</v>
      </c>
      <c r="S46" s="82" t="str">
        <f t="shared" si="69"/>
        <v>285.21,12.5</v>
      </c>
      <c r="T46" s="82" t="str">
        <f t="shared" si="70"/>
        <v>285.21,25</v>
      </c>
      <c r="U46" s="82" t="str">
        <f t="shared" si="71"/>
        <v>285.21,50</v>
      </c>
      <c r="V46" s="82" t="str">
        <f t="shared" si="72"/>
        <v>285.21,75</v>
      </c>
      <c r="W46" s="82" t="str">
        <f t="shared" si="73"/>
        <v>285.21,100</v>
      </c>
      <c r="X46" s="82" t="str">
        <f t="shared" si="74"/>
        <v>285.21,125</v>
      </c>
      <c r="Y46" s="82" t="str">
        <f t="shared" si="75"/>
        <v>285.21,150</v>
      </c>
      <c r="Z46" s="82" t="str">
        <f t="shared" si="76"/>
        <v>285.21,162.5</v>
      </c>
      <c r="AA46" s="82" t="str">
        <f t="shared" si="77"/>
        <v>285.21,180</v>
      </c>
      <c r="AB46" s="82" t="str">
        <f t="shared" si="78"/>
        <v>285.21,197.5</v>
      </c>
      <c r="AC46" s="84" t="str">
        <f t="shared" si="79"/>
        <v>285.21,198.4975</v>
      </c>
      <c r="AE46" s="83">
        <f t="shared" si="80"/>
        <v>9</v>
      </c>
      <c r="AF46" s="81" t="s">
        <v>46</v>
      </c>
      <c r="AG46" s="82" t="str">
        <f t="shared" si="81"/>
        <v>285.21,197.5</v>
      </c>
      <c r="AH46" s="91" t="str">
        <f t="shared" si="82"/>
        <v>349.416566666667,197.5</v>
      </c>
      <c r="AJ46" s="83">
        <f t="shared" si="83"/>
        <v>9</v>
      </c>
      <c r="AK46" s="81" t="s">
        <v>82</v>
      </c>
      <c r="AL46" s="92" t="str">
        <f t="shared" si="84"/>
        <v>285.21,198.4975</v>
      </c>
      <c r="AM46" s="93" t="str">
        <f t="shared" si="85"/>
        <v>349.735387616667,198.4975</v>
      </c>
      <c r="AS46" s="69">
        <v>10</v>
      </c>
      <c r="AT46" s="194" t="str">
        <f t="shared" si="43"/>
        <v>PO 316.9,0</v>
      </c>
      <c r="AU46" s="194" t="str">
        <f t="shared" si="44"/>
        <v>PO 320.840966666667,12.5</v>
      </c>
      <c r="AV46" s="194" t="str">
        <f t="shared" si="45"/>
        <v>PO 324.912966666667,25</v>
      </c>
      <c r="AW46" s="194" t="str">
        <f t="shared" si="46"/>
        <v>PO 333.056966666667,50</v>
      </c>
      <c r="AX46" s="194" t="str">
        <f t="shared" si="47"/>
        <v>PO 341.200966666667,75</v>
      </c>
      <c r="AY46" s="194" t="str">
        <f t="shared" si="48"/>
        <v>PO 349.344966666667,100</v>
      </c>
      <c r="AZ46" s="194" t="str">
        <f t="shared" si="49"/>
        <v>PO 357.488966666667,125</v>
      </c>
      <c r="BA46" s="194" t="str">
        <f t="shared" si="50"/>
        <v>PO 365.632966666667,150</v>
      </c>
      <c r="BB46" s="194" t="str">
        <f t="shared" si="51"/>
        <v>PO 369.704966666667,162.5</v>
      </c>
      <c r="BC46" s="194" t="str">
        <f t="shared" si="52"/>
        <v>PO 375.405766666667,180</v>
      </c>
      <c r="BD46" s="194" t="str">
        <f t="shared" si="53"/>
        <v>PO 381.106566666667,197.5</v>
      </c>
      <c r="BE46" s="194" t="str">
        <f t="shared" si="54"/>
        <v>PO 381.320712066667,198.17</v>
      </c>
    </row>
    <row r="47" spans="1:57" ht="15" thickBot="1" x14ac:dyDescent="0.35">
      <c r="A47" s="83">
        <f t="shared" si="55"/>
        <v>10</v>
      </c>
      <c r="B47" s="81" t="s">
        <v>40</v>
      </c>
      <c r="C47" s="82" t="str">
        <f t="shared" si="56"/>
        <v>316.9,0</v>
      </c>
      <c r="D47" s="82" t="str">
        <f t="shared" si="57"/>
        <v>320.840966666667,12.5</v>
      </c>
      <c r="E47" s="82" t="str">
        <f t="shared" si="58"/>
        <v>324.912966666667,25</v>
      </c>
      <c r="F47" s="82" t="str">
        <f t="shared" si="59"/>
        <v>333.056966666667,50</v>
      </c>
      <c r="G47" s="82" t="str">
        <f t="shared" si="60"/>
        <v>341.200966666667,75</v>
      </c>
      <c r="H47" s="82" t="str">
        <f t="shared" si="61"/>
        <v>349.344966666667,100</v>
      </c>
      <c r="I47" s="82" t="str">
        <f t="shared" si="86"/>
        <v>357.488966666667,125</v>
      </c>
      <c r="J47" s="82" t="str">
        <f t="shared" si="62"/>
        <v>365.632966666667,150</v>
      </c>
      <c r="K47" s="82" t="str">
        <f t="shared" si="63"/>
        <v>369.704966666667,162.5</v>
      </c>
      <c r="L47" s="82" t="str">
        <f t="shared" si="64"/>
        <v>375.405766666667,180</v>
      </c>
      <c r="M47" s="82" t="str">
        <f t="shared" si="65"/>
        <v>381.106566666667,197.5</v>
      </c>
      <c r="N47" s="84" t="str">
        <f t="shared" si="66"/>
        <v>381.320712066667,198.17</v>
      </c>
      <c r="P47" s="83">
        <f t="shared" si="67"/>
        <v>10</v>
      </c>
      <c r="Q47" s="81" t="s">
        <v>40</v>
      </c>
      <c r="R47" s="82" t="str">
        <f t="shared" si="68"/>
        <v>316.9,0</v>
      </c>
      <c r="S47" s="82" t="str">
        <f t="shared" si="69"/>
        <v>316.9,12.5</v>
      </c>
      <c r="T47" s="82" t="str">
        <f t="shared" si="70"/>
        <v>316.9,25</v>
      </c>
      <c r="U47" s="82" t="str">
        <f t="shared" si="71"/>
        <v>316.9,50</v>
      </c>
      <c r="V47" s="82" t="str">
        <f t="shared" si="72"/>
        <v>316.9,75</v>
      </c>
      <c r="W47" s="82" t="str">
        <f t="shared" si="73"/>
        <v>316.9,100</v>
      </c>
      <c r="X47" s="82" t="str">
        <f t="shared" si="74"/>
        <v>316.9,125</v>
      </c>
      <c r="Y47" s="82" t="str">
        <f t="shared" si="75"/>
        <v>316.9,150</v>
      </c>
      <c r="Z47" s="82" t="str">
        <f t="shared" si="76"/>
        <v>316.9,162.5</v>
      </c>
      <c r="AA47" s="82" t="str">
        <f t="shared" si="77"/>
        <v>316.9,180</v>
      </c>
      <c r="AB47" s="82" t="str">
        <f t="shared" si="78"/>
        <v>316.9,197.5</v>
      </c>
      <c r="AC47" s="84" t="str">
        <f t="shared" si="79"/>
        <v>316.9,198.17</v>
      </c>
      <c r="AE47" s="83">
        <f t="shared" si="80"/>
        <v>10</v>
      </c>
      <c r="AF47" s="81" t="s">
        <v>46</v>
      </c>
      <c r="AG47" s="82" t="str">
        <f t="shared" si="81"/>
        <v>316.9,197.5</v>
      </c>
      <c r="AH47" s="91" t="str">
        <f t="shared" si="82"/>
        <v>381.106566666667,197.5</v>
      </c>
      <c r="AJ47" s="83">
        <f t="shared" si="83"/>
        <v>10</v>
      </c>
      <c r="AK47" s="81" t="s">
        <v>82</v>
      </c>
      <c r="AL47" s="92" t="str">
        <f t="shared" si="84"/>
        <v>316.9,198.17</v>
      </c>
      <c r="AM47" s="93" t="str">
        <f t="shared" si="85"/>
        <v>381.320712066667,198.17</v>
      </c>
      <c r="AS47" s="69">
        <v>11</v>
      </c>
      <c r="AT47" s="194" t="str">
        <f t="shared" si="43"/>
        <v>PO 348.59,0</v>
      </c>
      <c r="AU47" s="194" t="str">
        <f t="shared" si="44"/>
        <v>PO 352.530966666667,12.5</v>
      </c>
      <c r="AV47" s="194" t="str">
        <f t="shared" si="45"/>
        <v>PO 356.602966666667,25</v>
      </c>
      <c r="AW47" s="194" t="str">
        <f t="shared" si="46"/>
        <v>PO 364.746966666667,50</v>
      </c>
      <c r="AX47" s="194" t="str">
        <f t="shared" si="47"/>
        <v>PO 372.890966666667,75</v>
      </c>
      <c r="AY47" s="194" t="str">
        <f t="shared" si="48"/>
        <v>PO 381.034966666667,100</v>
      </c>
      <c r="AZ47" s="194" t="str">
        <f t="shared" si="49"/>
        <v>PO 389.178966666667,125</v>
      </c>
      <c r="BA47" s="194" t="str">
        <f t="shared" si="50"/>
        <v>PO 397.322966666667,150</v>
      </c>
      <c r="BB47" s="194" t="str">
        <f t="shared" si="51"/>
        <v>PO 401.394966666667,162.5</v>
      </c>
      <c r="BC47" s="194" t="str">
        <f t="shared" si="52"/>
        <v>PO 407.095766666667,180</v>
      </c>
      <c r="BD47" s="194" t="str">
        <f t="shared" si="53"/>
        <v>PO 412.796566666667,197.5</v>
      </c>
      <c r="BE47" s="194" t="str">
        <f t="shared" si="54"/>
        <v>PO 413.126574316667,198.5325</v>
      </c>
    </row>
    <row r="48" spans="1:57" ht="15" thickBot="1" x14ac:dyDescent="0.35">
      <c r="A48" s="83">
        <f t="shared" si="55"/>
        <v>11</v>
      </c>
      <c r="B48" s="81" t="s">
        <v>40</v>
      </c>
      <c r="C48" s="82" t="str">
        <f t="shared" si="56"/>
        <v>348.59,0</v>
      </c>
      <c r="D48" s="82" t="str">
        <f t="shared" si="57"/>
        <v>352.530966666667,12.5</v>
      </c>
      <c r="E48" s="82" t="str">
        <f t="shared" si="58"/>
        <v>356.602966666667,25</v>
      </c>
      <c r="F48" s="82" t="str">
        <f t="shared" si="59"/>
        <v>364.746966666667,50</v>
      </c>
      <c r="G48" s="82" t="str">
        <f t="shared" si="60"/>
        <v>372.890966666667,75</v>
      </c>
      <c r="H48" s="82" t="str">
        <f t="shared" si="61"/>
        <v>381.034966666667,100</v>
      </c>
      <c r="I48" s="82" t="str">
        <f t="shared" si="86"/>
        <v>389.178966666667,125</v>
      </c>
      <c r="J48" s="82" t="str">
        <f t="shared" si="62"/>
        <v>397.322966666667,150</v>
      </c>
      <c r="K48" s="82" t="str">
        <f t="shared" si="63"/>
        <v>401.394966666667,162.5</v>
      </c>
      <c r="L48" s="82" t="str">
        <f t="shared" si="64"/>
        <v>407.095766666667,180</v>
      </c>
      <c r="M48" s="82" t="str">
        <f t="shared" si="65"/>
        <v>412.796566666667,197.5</v>
      </c>
      <c r="N48" s="84" t="str">
        <f>AF17&amp;","&amp;BC15</f>
        <v>413.126574316667,198.5325</v>
      </c>
      <c r="P48" s="83">
        <f t="shared" si="67"/>
        <v>11</v>
      </c>
      <c r="Q48" s="81" t="s">
        <v>40</v>
      </c>
      <c r="R48" s="82" t="str">
        <f t="shared" si="68"/>
        <v>348.59,0</v>
      </c>
      <c r="S48" s="82" t="str">
        <f t="shared" si="69"/>
        <v>348.59,12.5</v>
      </c>
      <c r="T48" s="82" t="str">
        <f t="shared" si="70"/>
        <v>348.59,25</v>
      </c>
      <c r="U48" s="82" t="str">
        <f t="shared" si="71"/>
        <v>348.59,50</v>
      </c>
      <c r="V48" s="82" t="str">
        <f t="shared" si="72"/>
        <v>348.59,75</v>
      </c>
      <c r="W48" s="82" t="str">
        <f t="shared" si="73"/>
        <v>348.59,100</v>
      </c>
      <c r="X48" s="82" t="str">
        <f t="shared" si="74"/>
        <v>348.59,125</v>
      </c>
      <c r="Y48" s="82" t="str">
        <f t="shared" si="75"/>
        <v>348.59,150</v>
      </c>
      <c r="Z48" s="82" t="str">
        <f t="shared" si="76"/>
        <v>348.59,162.5</v>
      </c>
      <c r="AA48" s="82" t="str">
        <f t="shared" si="77"/>
        <v>348.59,180</v>
      </c>
      <c r="AB48" s="82" t="str">
        <f t="shared" si="78"/>
        <v>348.59,197.5</v>
      </c>
      <c r="AC48" s="84" t="str">
        <f t="shared" si="79"/>
        <v>348.59,198.5325</v>
      </c>
      <c r="AE48" s="83">
        <f t="shared" si="80"/>
        <v>11</v>
      </c>
      <c r="AF48" s="81" t="s">
        <v>46</v>
      </c>
      <c r="AG48" s="82" t="str">
        <f t="shared" si="81"/>
        <v>348.59,197.5</v>
      </c>
      <c r="AH48" s="91" t="str">
        <f t="shared" si="82"/>
        <v>412.796566666667,197.5</v>
      </c>
      <c r="AJ48" s="83">
        <f t="shared" si="83"/>
        <v>11</v>
      </c>
      <c r="AK48" s="81" t="s">
        <v>82</v>
      </c>
      <c r="AL48" s="92" t="str">
        <f t="shared" si="84"/>
        <v>348.59,198.5325</v>
      </c>
      <c r="AM48" s="93" t="str">
        <f t="shared" si="85"/>
        <v>413.126574316667,198.5325</v>
      </c>
      <c r="AS48" s="69">
        <v>12</v>
      </c>
      <c r="AT48" s="194" t="str">
        <f t="shared" si="43"/>
        <v>PO 380.28,0</v>
      </c>
      <c r="AU48" s="194" t="str">
        <f t="shared" si="44"/>
        <v>PO 384.220966666667,12.5</v>
      </c>
      <c r="AV48" s="194" t="str">
        <f t="shared" si="45"/>
        <v>PO 388.292966666667,25</v>
      </c>
      <c r="AW48" s="194" t="str">
        <f t="shared" si="46"/>
        <v>PO 396.436966666667,50</v>
      </c>
      <c r="AX48" s="194" t="str">
        <f t="shared" si="47"/>
        <v>PO 404.580966666667,75</v>
      </c>
      <c r="AY48" s="194" t="str">
        <f t="shared" si="48"/>
        <v>PO 412.724966666667,100</v>
      </c>
      <c r="AZ48" s="194" t="str">
        <f t="shared" si="49"/>
        <v>PO 420.868966666667,125</v>
      </c>
      <c r="BA48" s="194" t="str">
        <f t="shared" si="50"/>
        <v>PO 429.012966666667,150</v>
      </c>
      <c r="BB48" s="194" t="str">
        <f t="shared" si="51"/>
        <v>PO 433.084966666667,162.5</v>
      </c>
      <c r="BC48" s="194" t="str">
        <f t="shared" si="52"/>
        <v>PO 438.785766666667,180</v>
      </c>
      <c r="BD48" s="194" t="str">
        <f t="shared" si="53"/>
        <v>PO 444.486566666667,197.5</v>
      </c>
      <c r="BE48" s="194" t="str">
        <f t="shared" si="54"/>
        <v>PO 445.638772733333,201.105</v>
      </c>
    </row>
    <row r="49" spans="1:57" ht="15" thickBot="1" x14ac:dyDescent="0.35">
      <c r="A49" s="83">
        <f t="shared" si="55"/>
        <v>12</v>
      </c>
      <c r="B49" s="81" t="s">
        <v>40</v>
      </c>
      <c r="C49" s="82" t="str">
        <f t="shared" si="56"/>
        <v>380.28,0</v>
      </c>
      <c r="D49" s="82" t="str">
        <f t="shared" si="57"/>
        <v>384.220966666667,12.5</v>
      </c>
      <c r="E49" s="82" t="str">
        <f t="shared" si="58"/>
        <v>388.292966666667,25</v>
      </c>
      <c r="F49" s="82" t="str">
        <f t="shared" si="59"/>
        <v>396.436966666667,50</v>
      </c>
      <c r="G49" s="82" t="str">
        <f t="shared" si="60"/>
        <v>404.580966666667,75</v>
      </c>
      <c r="H49" s="82" t="str">
        <f t="shared" si="61"/>
        <v>412.724966666667,100</v>
      </c>
      <c r="I49" s="82" t="str">
        <f t="shared" si="86"/>
        <v>420.868966666667,125</v>
      </c>
      <c r="J49" s="82" t="str">
        <f t="shared" si="62"/>
        <v>429.012966666667,150</v>
      </c>
      <c r="K49" s="82" t="str">
        <f t="shared" si="63"/>
        <v>433.084966666667,162.5</v>
      </c>
      <c r="L49" s="82" t="str">
        <f t="shared" si="64"/>
        <v>438.785766666667,180</v>
      </c>
      <c r="M49" s="82" t="str">
        <f t="shared" si="65"/>
        <v>444.486566666667,197.5</v>
      </c>
      <c r="N49" s="84" t="str">
        <f t="shared" si="66"/>
        <v>445.638772733333,201.105</v>
      </c>
      <c r="P49" s="83">
        <f t="shared" si="67"/>
        <v>12</v>
      </c>
      <c r="Q49" s="81" t="s">
        <v>40</v>
      </c>
      <c r="R49" s="82" t="str">
        <f t="shared" si="68"/>
        <v>380.28,0</v>
      </c>
      <c r="S49" s="82" t="str">
        <f t="shared" si="69"/>
        <v>380.28,12.5</v>
      </c>
      <c r="T49" s="82" t="str">
        <f t="shared" si="70"/>
        <v>380.28,25</v>
      </c>
      <c r="U49" s="82" t="str">
        <f t="shared" si="71"/>
        <v>380.28,50</v>
      </c>
      <c r="V49" s="82" t="str">
        <f t="shared" si="72"/>
        <v>380.28,75</v>
      </c>
      <c r="W49" s="82" t="str">
        <f t="shared" si="73"/>
        <v>380.28,100</v>
      </c>
      <c r="X49" s="82" t="str">
        <f t="shared" si="74"/>
        <v>380.28,125</v>
      </c>
      <c r="Y49" s="82" t="str">
        <f t="shared" si="75"/>
        <v>380.28,150</v>
      </c>
      <c r="Z49" s="82" t="str">
        <f t="shared" si="76"/>
        <v>380.28,162.5</v>
      </c>
      <c r="AA49" s="82" t="str">
        <f t="shared" si="77"/>
        <v>380.28,180</v>
      </c>
      <c r="AB49" s="82" t="str">
        <f t="shared" si="78"/>
        <v>380.28,197.5</v>
      </c>
      <c r="AC49" s="84" t="str">
        <f t="shared" si="79"/>
        <v>380.28,201.105</v>
      </c>
      <c r="AE49" s="83">
        <f t="shared" si="80"/>
        <v>12</v>
      </c>
      <c r="AF49" s="81" t="s">
        <v>46</v>
      </c>
      <c r="AG49" s="82" t="str">
        <f t="shared" si="81"/>
        <v>380.28,197.5</v>
      </c>
      <c r="AH49" s="91" t="str">
        <f t="shared" si="82"/>
        <v>444.486566666667,197.5</v>
      </c>
      <c r="AJ49" s="83">
        <f t="shared" si="83"/>
        <v>12</v>
      </c>
      <c r="AK49" s="81" t="s">
        <v>82</v>
      </c>
      <c r="AL49" s="92" t="str">
        <f t="shared" si="84"/>
        <v>380.28,201.105</v>
      </c>
      <c r="AM49" s="93" t="str">
        <f t="shared" si="85"/>
        <v>445.638772733333,201.105</v>
      </c>
      <c r="AS49" s="69">
        <v>13</v>
      </c>
      <c r="AT49" s="194" t="str">
        <f t="shared" si="43"/>
        <v>PO 411.97,0</v>
      </c>
      <c r="AU49" s="194" t="str">
        <f t="shared" si="44"/>
        <v>PO 415.933916666667,12.5</v>
      </c>
      <c r="AV49" s="194" t="str">
        <f t="shared" si="45"/>
        <v>PO 420.005916666667,25</v>
      </c>
      <c r="AW49" s="194" t="str">
        <f t="shared" si="46"/>
        <v>PO 428.149916666667,50</v>
      </c>
      <c r="AX49" s="194" t="str">
        <f t="shared" si="47"/>
        <v>PO 436.293916666667,75</v>
      </c>
      <c r="AY49" s="194" t="str">
        <f t="shared" si="48"/>
        <v>PO 444.437916666667,100</v>
      </c>
      <c r="AZ49" s="194" t="str">
        <f t="shared" si="49"/>
        <v>PO 452.581916666667,125</v>
      </c>
      <c r="BA49" s="194" t="str">
        <f t="shared" si="50"/>
        <v>PO 460.725916666667,150</v>
      </c>
      <c r="BB49" s="194" t="str">
        <f t="shared" si="51"/>
        <v>PO 464.797916666667,162.5</v>
      </c>
      <c r="BC49" s="194" t="str">
        <f t="shared" si="52"/>
        <v>PO 470.498716666667,180</v>
      </c>
      <c r="BD49" s="194" t="str">
        <f t="shared" si="53"/>
        <v>PO 476.199516666667,197.5</v>
      </c>
      <c r="BE49" s="194" t="str">
        <f t="shared" si="54"/>
        <v>PO 478.501946466667,204.705</v>
      </c>
    </row>
    <row r="50" spans="1:57" ht="15" thickBot="1" x14ac:dyDescent="0.35">
      <c r="A50" s="83">
        <f t="shared" si="55"/>
        <v>13</v>
      </c>
      <c r="B50" s="81" t="s">
        <v>40</v>
      </c>
      <c r="C50" s="82" t="str">
        <f t="shared" si="56"/>
        <v>411.97,0</v>
      </c>
      <c r="D50" s="82" t="str">
        <f t="shared" si="57"/>
        <v>415.933916666667,12.5</v>
      </c>
      <c r="E50" s="82" t="str">
        <f t="shared" si="58"/>
        <v>420.005916666667,25</v>
      </c>
      <c r="F50" s="82" t="str">
        <f t="shared" si="59"/>
        <v>428.149916666667,50</v>
      </c>
      <c r="G50" s="82" t="str">
        <f t="shared" si="60"/>
        <v>436.293916666667,75</v>
      </c>
      <c r="H50" s="82" t="str">
        <f t="shared" si="61"/>
        <v>444.437916666667,100</v>
      </c>
      <c r="I50" s="82" t="str">
        <f t="shared" si="86"/>
        <v>452.581916666667,125</v>
      </c>
      <c r="J50" s="82" t="str">
        <f t="shared" si="62"/>
        <v>460.725916666667,150</v>
      </c>
      <c r="K50" s="82" t="str">
        <f t="shared" si="63"/>
        <v>464.797916666667,162.5</v>
      </c>
      <c r="L50" s="82" t="str">
        <f t="shared" si="64"/>
        <v>470.498716666667,180</v>
      </c>
      <c r="M50" s="82" t="str">
        <f t="shared" si="65"/>
        <v>476.199516666667,197.5</v>
      </c>
      <c r="N50" s="84" t="str">
        <f t="shared" si="66"/>
        <v>478.501946466667,204.705</v>
      </c>
      <c r="P50" s="83">
        <f t="shared" si="67"/>
        <v>13</v>
      </c>
      <c r="Q50" s="81" t="s">
        <v>40</v>
      </c>
      <c r="R50" s="82" t="str">
        <f t="shared" si="68"/>
        <v>411.97,0</v>
      </c>
      <c r="S50" s="82" t="str">
        <f t="shared" si="69"/>
        <v>411.97,12.5</v>
      </c>
      <c r="T50" s="82" t="str">
        <f t="shared" si="70"/>
        <v>411.97,25</v>
      </c>
      <c r="U50" s="82" t="str">
        <f t="shared" si="71"/>
        <v>411.97,50</v>
      </c>
      <c r="V50" s="82" t="str">
        <f t="shared" si="72"/>
        <v>411.97,75</v>
      </c>
      <c r="W50" s="82" t="str">
        <f t="shared" si="73"/>
        <v>411.97,100</v>
      </c>
      <c r="X50" s="82" t="str">
        <f t="shared" si="74"/>
        <v>411.97,125</v>
      </c>
      <c r="Y50" s="82" t="str">
        <f t="shared" si="75"/>
        <v>411.97,150</v>
      </c>
      <c r="Z50" s="82" t="str">
        <f t="shared" si="76"/>
        <v>411.97,162.5</v>
      </c>
      <c r="AA50" s="82" t="str">
        <f t="shared" si="77"/>
        <v>411.97,180</v>
      </c>
      <c r="AB50" s="82" t="str">
        <f t="shared" si="78"/>
        <v>411.97,197.5</v>
      </c>
      <c r="AC50" s="84" t="str">
        <f t="shared" si="79"/>
        <v>411.97,204.705</v>
      </c>
      <c r="AE50" s="83">
        <f t="shared" si="80"/>
        <v>13</v>
      </c>
      <c r="AF50" s="81" t="s">
        <v>46</v>
      </c>
      <c r="AG50" s="82" t="str">
        <f t="shared" si="81"/>
        <v>411.97,197.5</v>
      </c>
      <c r="AH50" s="91" t="str">
        <f t="shared" si="82"/>
        <v>476.199516666667,197.5</v>
      </c>
      <c r="AJ50" s="83">
        <f t="shared" si="83"/>
        <v>13</v>
      </c>
      <c r="AK50" s="81" t="s">
        <v>82</v>
      </c>
      <c r="AL50" s="92" t="str">
        <f t="shared" si="84"/>
        <v>411.97,204.705</v>
      </c>
      <c r="AM50" s="93" t="str">
        <f t="shared" si="85"/>
        <v>478.501946466667,204.705</v>
      </c>
      <c r="AS50" s="69">
        <v>14</v>
      </c>
      <c r="AT50" s="194" t="str">
        <f t="shared" si="43"/>
        <v>PO 443.66,0</v>
      </c>
      <c r="AU50" s="194" t="str">
        <f t="shared" si="44"/>
        <v>PO 447.492383333333,12.5</v>
      </c>
      <c r="AV50" s="194" t="str">
        <f t="shared" si="45"/>
        <v>PO 451.53055,25</v>
      </c>
      <c r="AW50" s="194" t="str">
        <f t="shared" si="46"/>
        <v>PO 459.659433333333,50</v>
      </c>
      <c r="AX50" s="194" t="str">
        <f t="shared" si="47"/>
        <v>PO 467.800366666667,75</v>
      </c>
      <c r="AY50" s="194" t="str">
        <f t="shared" si="48"/>
        <v>PO 475.944283333333,100</v>
      </c>
      <c r="AZ50" s="194" t="str">
        <f t="shared" si="49"/>
        <v>PO 484.088283333333,125</v>
      </c>
      <c r="BA50" s="194" t="str">
        <f t="shared" si="50"/>
        <v>PO 492.232283333333,150</v>
      </c>
      <c r="BB50" s="194" t="str">
        <f t="shared" si="51"/>
        <v>PO 496.304283333333,162.5</v>
      </c>
      <c r="BC50" s="194" t="str">
        <f t="shared" si="52"/>
        <v>PO 502.005083333333,180</v>
      </c>
      <c r="BD50" s="194" t="str">
        <f t="shared" si="53"/>
        <v>PO 507.705883333333,197.5</v>
      </c>
      <c r="BE50" s="194" t="str">
        <f t="shared" si="54"/>
        <v>PO 511.6514114,209.855</v>
      </c>
    </row>
    <row r="51" spans="1:57" ht="15" thickBot="1" x14ac:dyDescent="0.35">
      <c r="A51" s="83">
        <f t="shared" si="55"/>
        <v>14</v>
      </c>
      <c r="B51" s="81" t="s">
        <v>40</v>
      </c>
      <c r="C51" s="82" t="str">
        <f t="shared" si="56"/>
        <v>443.66,0</v>
      </c>
      <c r="D51" s="82" t="str">
        <f t="shared" si="57"/>
        <v>447.492383333333,12.5</v>
      </c>
      <c r="E51" s="82" t="str">
        <f t="shared" si="58"/>
        <v>451.53055,25</v>
      </c>
      <c r="F51" s="82" t="str">
        <f t="shared" si="59"/>
        <v>459.659433333333,50</v>
      </c>
      <c r="G51" s="82" t="str">
        <f t="shared" si="60"/>
        <v>467.800366666667,75</v>
      </c>
      <c r="H51" s="82" t="str">
        <f t="shared" si="61"/>
        <v>475.944283333333,100</v>
      </c>
      <c r="I51" s="82" t="str">
        <f t="shared" si="86"/>
        <v>484.088283333333,125</v>
      </c>
      <c r="J51" s="82" t="str">
        <f t="shared" si="62"/>
        <v>492.232283333333,150</v>
      </c>
      <c r="K51" s="82" t="str">
        <f t="shared" si="63"/>
        <v>496.304283333333,162.5</v>
      </c>
      <c r="L51" s="82" t="str">
        <f t="shared" si="64"/>
        <v>502.005083333333,180</v>
      </c>
      <c r="M51" s="82" t="str">
        <f t="shared" si="65"/>
        <v>507.705883333333,197.5</v>
      </c>
      <c r="N51" s="84" t="str">
        <f t="shared" si="66"/>
        <v>511.6514114,209.855</v>
      </c>
      <c r="P51" s="83">
        <f t="shared" si="67"/>
        <v>14</v>
      </c>
      <c r="Q51" s="81" t="s">
        <v>40</v>
      </c>
      <c r="R51" s="82" t="str">
        <f t="shared" si="68"/>
        <v>443.66,0</v>
      </c>
      <c r="S51" s="82" t="str">
        <f t="shared" si="69"/>
        <v>443.66,12.5</v>
      </c>
      <c r="T51" s="82" t="str">
        <f t="shared" si="70"/>
        <v>443.66,25</v>
      </c>
      <c r="U51" s="82" t="str">
        <f t="shared" si="71"/>
        <v>443.66,50</v>
      </c>
      <c r="V51" s="82" t="str">
        <f t="shared" si="72"/>
        <v>443.66,75</v>
      </c>
      <c r="W51" s="82" t="str">
        <f t="shared" si="73"/>
        <v>443.66,100</v>
      </c>
      <c r="X51" s="82" t="str">
        <f t="shared" si="74"/>
        <v>443.66,125</v>
      </c>
      <c r="Y51" s="82" t="str">
        <f t="shared" si="75"/>
        <v>443.66,150</v>
      </c>
      <c r="Z51" s="82" t="str">
        <f t="shared" si="76"/>
        <v>443.66,162.5</v>
      </c>
      <c r="AA51" s="82" t="str">
        <f t="shared" si="77"/>
        <v>443.66,180</v>
      </c>
      <c r="AB51" s="82" t="str">
        <f t="shared" si="78"/>
        <v>443.66,197.5</v>
      </c>
      <c r="AC51" s="84" t="str">
        <f t="shared" si="79"/>
        <v>443.66,209.855</v>
      </c>
      <c r="AE51" s="83">
        <f t="shared" si="80"/>
        <v>14</v>
      </c>
      <c r="AF51" s="81" t="s">
        <v>46</v>
      </c>
      <c r="AG51" s="82" t="str">
        <f t="shared" si="81"/>
        <v>443.66,197.5</v>
      </c>
      <c r="AH51" s="91" t="str">
        <f t="shared" si="82"/>
        <v>507.705883333333,197.5</v>
      </c>
      <c r="AJ51" s="83">
        <f t="shared" si="83"/>
        <v>14</v>
      </c>
      <c r="AK51" s="81" t="s">
        <v>82</v>
      </c>
      <c r="AL51" s="92" t="str">
        <f t="shared" si="84"/>
        <v>443.66,209.855</v>
      </c>
      <c r="AM51" s="93" t="str">
        <f t="shared" si="85"/>
        <v>511.6514114,209.855</v>
      </c>
      <c r="AS51" s="69">
        <v>15</v>
      </c>
      <c r="AT51" s="194" t="str">
        <f t="shared" si="43"/>
        <v>PO 475.35,0</v>
      </c>
      <c r="AU51" s="194" t="str">
        <f t="shared" si="44"/>
        <v>PO 478.902658333333,12.5</v>
      </c>
      <c r="AV51" s="194" t="str">
        <f t="shared" si="45"/>
        <v>PO 482.7942,25</v>
      </c>
      <c r="AW51" s="194" t="str">
        <f t="shared" si="46"/>
        <v>PO 490.690416666667,50</v>
      </c>
      <c r="AX51" s="194" t="str">
        <f t="shared" si="47"/>
        <v>PO 498.660333333333,75</v>
      </c>
      <c r="AY51" s="194" t="str">
        <f t="shared" si="48"/>
        <v>PO 506.6853,100</v>
      </c>
      <c r="AZ51" s="194" t="str">
        <f t="shared" si="49"/>
        <v>PO 514.756266666667,125</v>
      </c>
      <c r="BA51" s="194" t="str">
        <f t="shared" si="50"/>
        <v>PO 522.858533333333,150</v>
      </c>
      <c r="BB51" s="194" t="str">
        <f t="shared" si="51"/>
        <v>PO 526.916691666667,162.5</v>
      </c>
      <c r="BC51" s="194" t="str">
        <f t="shared" si="52"/>
        <v>PO 532.603351666667,180</v>
      </c>
      <c r="BD51" s="194" t="str">
        <f t="shared" si="53"/>
        <v>PO 538.294503333333,197.5</v>
      </c>
      <c r="BE51" s="194" t="str">
        <f t="shared" si="54"/>
        <v>PO 543.877614468333,215.0425</v>
      </c>
    </row>
    <row r="52" spans="1:57" ht="15" thickBot="1" x14ac:dyDescent="0.35">
      <c r="A52" s="83">
        <f t="shared" si="55"/>
        <v>15</v>
      </c>
      <c r="B52" s="81" t="s">
        <v>40</v>
      </c>
      <c r="C52" s="82" t="str">
        <f t="shared" si="56"/>
        <v>475.35,0</v>
      </c>
      <c r="D52" s="82" t="str">
        <f t="shared" si="57"/>
        <v>478.902658333333,12.5</v>
      </c>
      <c r="E52" s="82" t="str">
        <f t="shared" si="58"/>
        <v>482.7942,25</v>
      </c>
      <c r="F52" s="82" t="str">
        <f t="shared" si="59"/>
        <v>490.690416666667,50</v>
      </c>
      <c r="G52" s="82" t="str">
        <f t="shared" si="60"/>
        <v>498.660333333333,75</v>
      </c>
      <c r="H52" s="82" t="str">
        <f t="shared" si="61"/>
        <v>506.6853,100</v>
      </c>
      <c r="I52" s="82" t="str">
        <f t="shared" si="86"/>
        <v>514.756266666667,125</v>
      </c>
      <c r="J52" s="82" t="str">
        <f t="shared" si="62"/>
        <v>522.858533333333,150</v>
      </c>
      <c r="K52" s="82" t="str">
        <f t="shared" si="63"/>
        <v>526.916691666667,162.5</v>
      </c>
      <c r="L52" s="82" t="str">
        <f t="shared" si="64"/>
        <v>532.603351666667,180</v>
      </c>
      <c r="M52" s="82" t="str">
        <f t="shared" si="65"/>
        <v>538.294503333333,197.5</v>
      </c>
      <c r="N52" s="84" t="str">
        <f t="shared" si="66"/>
        <v>543.877614468333,215.0425</v>
      </c>
      <c r="P52" s="83">
        <f t="shared" si="67"/>
        <v>15</v>
      </c>
      <c r="Q52" s="81" t="s">
        <v>40</v>
      </c>
      <c r="R52" s="82" t="str">
        <f t="shared" si="68"/>
        <v>475.35,0</v>
      </c>
      <c r="S52" s="82" t="str">
        <f t="shared" si="69"/>
        <v>475.35,12.5</v>
      </c>
      <c r="T52" s="82" t="str">
        <f t="shared" si="70"/>
        <v>475.35,25</v>
      </c>
      <c r="U52" s="82" t="str">
        <f t="shared" si="71"/>
        <v>475.35,50</v>
      </c>
      <c r="V52" s="82" t="str">
        <f t="shared" si="72"/>
        <v>475.35,75</v>
      </c>
      <c r="W52" s="82" t="str">
        <f t="shared" si="73"/>
        <v>475.35,100</v>
      </c>
      <c r="X52" s="82" t="str">
        <f t="shared" si="74"/>
        <v>475.35,125</v>
      </c>
      <c r="Y52" s="82" t="str">
        <f t="shared" si="75"/>
        <v>475.35,150</v>
      </c>
      <c r="Z52" s="82" t="str">
        <f t="shared" si="76"/>
        <v>475.35,162.5</v>
      </c>
      <c r="AA52" s="82" t="str">
        <f t="shared" si="77"/>
        <v>475.35,180</v>
      </c>
      <c r="AB52" s="82" t="str">
        <f t="shared" si="78"/>
        <v>475.35,197.5</v>
      </c>
      <c r="AC52" s="84" t="str">
        <f t="shared" si="79"/>
        <v>475.35,215.0425</v>
      </c>
      <c r="AE52" s="83">
        <f t="shared" si="80"/>
        <v>15</v>
      </c>
      <c r="AF52" s="81" t="s">
        <v>46</v>
      </c>
      <c r="AG52" s="82" t="str">
        <f t="shared" si="81"/>
        <v>475.35,197.5</v>
      </c>
      <c r="AH52" s="91" t="str">
        <f t="shared" si="82"/>
        <v>538.294503333333,197.5</v>
      </c>
      <c r="AJ52" s="83">
        <f t="shared" si="83"/>
        <v>15</v>
      </c>
      <c r="AK52" s="81" t="s">
        <v>82</v>
      </c>
      <c r="AL52" s="92" t="str">
        <f t="shared" si="84"/>
        <v>475.35,215.0425</v>
      </c>
      <c r="AM52" s="93" t="str">
        <f t="shared" si="85"/>
        <v>543.877614468333,215.0425</v>
      </c>
      <c r="AS52" s="69">
        <v>16</v>
      </c>
      <c r="AT52" s="194" t="str">
        <f t="shared" si="43"/>
        <v>PO 507.04,0</v>
      </c>
      <c r="AU52" s="194" t="str">
        <f t="shared" si="44"/>
        <v>PO 510.255691666667,12.5</v>
      </c>
      <c r="AV52" s="194" t="str">
        <f t="shared" si="45"/>
        <v>PO 513.834458333333,25</v>
      </c>
      <c r="AW52" s="194" t="str">
        <f t="shared" si="46"/>
        <v>PO 521.277691666667,50</v>
      </c>
      <c r="AX52" s="194" t="str">
        <f t="shared" si="47"/>
        <v>PO 528.874808333333,75</v>
      </c>
      <c r="AY52" s="194" t="str">
        <f t="shared" si="48"/>
        <v>PO 536.574641666667,100</v>
      </c>
      <c r="AZ52" s="194" t="str">
        <f t="shared" si="49"/>
        <v>PO 544.365325,125</v>
      </c>
      <c r="BA52" s="194" t="str">
        <f t="shared" si="50"/>
        <v>PO 552.240475,150</v>
      </c>
      <c r="BB52" s="194" t="str">
        <f t="shared" si="51"/>
        <v>PO 556.206741666667,162.5</v>
      </c>
      <c r="BC52" s="194" t="str">
        <f t="shared" si="52"/>
        <v>PO 561.781716666667,180</v>
      </c>
      <c r="BD52" s="194" t="str">
        <f t="shared" si="53"/>
        <v>PO 567.380211666667,197.5</v>
      </c>
      <c r="BE52" s="194" t="str">
        <f t="shared" si="54"/>
        <v>PO 574.505749526667,220.285</v>
      </c>
    </row>
    <row r="53" spans="1:57" ht="15" thickBot="1" x14ac:dyDescent="0.35">
      <c r="A53" s="83">
        <f t="shared" si="55"/>
        <v>16</v>
      </c>
      <c r="B53" s="81" t="s">
        <v>40</v>
      </c>
      <c r="C53" s="82" t="str">
        <f t="shared" si="56"/>
        <v>507.04,0</v>
      </c>
      <c r="D53" s="82" t="str">
        <f t="shared" si="57"/>
        <v>510.255691666667,12.5</v>
      </c>
      <c r="E53" s="82" t="str">
        <f t="shared" si="58"/>
        <v>513.834458333333,25</v>
      </c>
      <c r="F53" s="82" t="str">
        <f t="shared" si="59"/>
        <v>521.277691666667,50</v>
      </c>
      <c r="G53" s="82" t="str">
        <f t="shared" si="60"/>
        <v>528.874808333333,75</v>
      </c>
      <c r="H53" s="82" t="str">
        <f t="shared" si="61"/>
        <v>536.574641666667,100</v>
      </c>
      <c r="I53" s="82" t="str">
        <f t="shared" si="86"/>
        <v>544.365325,125</v>
      </c>
      <c r="J53" s="82" t="str">
        <f t="shared" si="62"/>
        <v>552.240475,150</v>
      </c>
      <c r="K53" s="82" t="str">
        <f t="shared" si="63"/>
        <v>556.206741666667,162.5</v>
      </c>
      <c r="L53" s="82" t="str">
        <f t="shared" si="64"/>
        <v>561.781716666667,180</v>
      </c>
      <c r="M53" s="82" t="str">
        <f t="shared" si="65"/>
        <v>567.380211666667,197.5</v>
      </c>
      <c r="N53" s="84" t="str">
        <f t="shared" si="66"/>
        <v>574.505749526667,220.285</v>
      </c>
      <c r="P53" s="83">
        <f t="shared" si="67"/>
        <v>16</v>
      </c>
      <c r="Q53" s="81" t="s">
        <v>40</v>
      </c>
      <c r="R53" s="82" t="str">
        <f t="shared" si="68"/>
        <v>507.04,0</v>
      </c>
      <c r="S53" s="82" t="str">
        <f t="shared" si="69"/>
        <v>507.04,12.5</v>
      </c>
      <c r="T53" s="82" t="str">
        <f t="shared" si="70"/>
        <v>507.04,25</v>
      </c>
      <c r="U53" s="82" t="str">
        <f t="shared" si="71"/>
        <v>507.04,50</v>
      </c>
      <c r="V53" s="82" t="str">
        <f t="shared" si="72"/>
        <v>507.04,75</v>
      </c>
      <c r="W53" s="82" t="str">
        <f t="shared" si="73"/>
        <v>507.04,100</v>
      </c>
      <c r="X53" s="82" t="str">
        <f t="shared" si="74"/>
        <v>507.04,125</v>
      </c>
      <c r="Y53" s="82" t="str">
        <f t="shared" si="75"/>
        <v>507.04,150</v>
      </c>
      <c r="Z53" s="82" t="str">
        <f t="shared" si="76"/>
        <v>507.04,162.5</v>
      </c>
      <c r="AA53" s="82" t="str">
        <f t="shared" si="77"/>
        <v>507.04,180</v>
      </c>
      <c r="AB53" s="82" t="str">
        <f t="shared" si="78"/>
        <v>507.04,197.5</v>
      </c>
      <c r="AC53" s="84" t="str">
        <f t="shared" si="79"/>
        <v>507.04,220.285</v>
      </c>
      <c r="AE53" s="83">
        <f t="shared" si="80"/>
        <v>16</v>
      </c>
      <c r="AF53" s="81" t="s">
        <v>46</v>
      </c>
      <c r="AG53" s="82" t="str">
        <f t="shared" si="81"/>
        <v>507.04,197.5</v>
      </c>
      <c r="AH53" s="91" t="str">
        <f t="shared" si="82"/>
        <v>567.380211666667,197.5</v>
      </c>
      <c r="AJ53" s="83">
        <f t="shared" si="83"/>
        <v>16</v>
      </c>
      <c r="AK53" s="81" t="s">
        <v>82</v>
      </c>
      <c r="AL53" s="92" t="str">
        <f t="shared" si="84"/>
        <v>507.04,220.285</v>
      </c>
      <c r="AM53" s="93" t="str">
        <f t="shared" si="85"/>
        <v>574.505749526667,220.285</v>
      </c>
      <c r="AS53" s="69">
        <v>17</v>
      </c>
      <c r="AT53" s="194" t="str">
        <f t="shared" si="43"/>
        <v>PO 538.73,0</v>
      </c>
      <c r="AU53" s="194" t="str">
        <f t="shared" si="44"/>
        <v>PO 541.491675,12.5</v>
      </c>
      <c r="AV53" s="194" t="str">
        <f t="shared" si="45"/>
        <v>PO 544.707783333333,25</v>
      </c>
      <c r="AW53" s="194" t="str">
        <f t="shared" si="46"/>
        <v>PO 551.354316666667,50</v>
      </c>
      <c r="AX53" s="194" t="str">
        <f t="shared" si="47"/>
        <v>PO 558.251033333333,75</v>
      </c>
      <c r="AY53" s="194" t="str">
        <f t="shared" si="48"/>
        <v>PO 565.333233333333,100</v>
      </c>
      <c r="AZ53" s="194" t="str">
        <f t="shared" si="49"/>
        <v>PO 572.55445,125</v>
      </c>
      <c r="BA53" s="194" t="str">
        <f t="shared" si="50"/>
        <v>PO 579.8894,150</v>
      </c>
      <c r="BB53" s="194" t="str">
        <f t="shared" si="51"/>
        <v>PO 583.594425,162.5</v>
      </c>
      <c r="BC53" s="194" t="str">
        <f t="shared" si="52"/>
        <v>PO 588.818968333333,180</v>
      </c>
      <c r="BD53" s="194" t="str">
        <f t="shared" si="53"/>
        <v>PO 594.083376666667,197.5</v>
      </c>
      <c r="BE53" s="194" t="str">
        <f t="shared" si="54"/>
        <v>PO 602.818543516667,227.225</v>
      </c>
    </row>
    <row r="54" spans="1:57" ht="15" thickBot="1" x14ac:dyDescent="0.35">
      <c r="A54" s="83">
        <f t="shared" si="55"/>
        <v>17</v>
      </c>
      <c r="B54" s="81" t="s">
        <v>40</v>
      </c>
      <c r="C54" s="82" t="str">
        <f t="shared" si="56"/>
        <v>538.73,0</v>
      </c>
      <c r="D54" s="82" t="str">
        <f t="shared" si="57"/>
        <v>541.491675,12.5</v>
      </c>
      <c r="E54" s="82" t="str">
        <f t="shared" si="58"/>
        <v>544.707783333333,25</v>
      </c>
      <c r="F54" s="82" t="str">
        <f t="shared" si="59"/>
        <v>551.354316666667,50</v>
      </c>
      <c r="G54" s="82" t="str">
        <f t="shared" si="60"/>
        <v>558.251033333333,75</v>
      </c>
      <c r="H54" s="82" t="str">
        <f t="shared" si="61"/>
        <v>565.333233333333,100</v>
      </c>
      <c r="I54" s="82" t="str">
        <f t="shared" si="86"/>
        <v>572.55445,125</v>
      </c>
      <c r="J54" s="82" t="str">
        <f t="shared" si="62"/>
        <v>579.8894,150</v>
      </c>
      <c r="K54" s="82" t="str">
        <f t="shared" si="63"/>
        <v>583.594425,162.5</v>
      </c>
      <c r="L54" s="82" t="str">
        <f t="shared" si="64"/>
        <v>588.818968333333,180</v>
      </c>
      <c r="M54" s="82" t="str">
        <f t="shared" si="65"/>
        <v>594.083376666667,197.5</v>
      </c>
      <c r="N54" s="84" t="str">
        <f t="shared" si="66"/>
        <v>602.818543516667,227.225</v>
      </c>
      <c r="P54" s="83">
        <f t="shared" si="67"/>
        <v>17</v>
      </c>
      <c r="Q54" s="81" t="s">
        <v>40</v>
      </c>
      <c r="R54" s="82" t="str">
        <f t="shared" si="68"/>
        <v>538.73,0</v>
      </c>
      <c r="S54" s="82" t="str">
        <f t="shared" si="69"/>
        <v>538.73,12.5</v>
      </c>
      <c r="T54" s="82" t="str">
        <f t="shared" si="70"/>
        <v>538.73,25</v>
      </c>
      <c r="U54" s="82" t="str">
        <f t="shared" si="71"/>
        <v>538.73,50</v>
      </c>
      <c r="V54" s="82" t="str">
        <f t="shared" si="72"/>
        <v>538.73,75</v>
      </c>
      <c r="W54" s="82" t="str">
        <f t="shared" si="73"/>
        <v>538.73,100</v>
      </c>
      <c r="X54" s="82" t="str">
        <f t="shared" si="74"/>
        <v>538.73,125</v>
      </c>
      <c r="Y54" s="82" t="str">
        <f t="shared" si="75"/>
        <v>538.73,150</v>
      </c>
      <c r="Z54" s="82" t="str">
        <f t="shared" si="76"/>
        <v>538.73,162.5</v>
      </c>
      <c r="AA54" s="82" t="str">
        <f t="shared" si="77"/>
        <v>538.73,180</v>
      </c>
      <c r="AB54" s="82" t="str">
        <f t="shared" si="78"/>
        <v>538.73,197.5</v>
      </c>
      <c r="AC54" s="84" t="str">
        <f t="shared" si="79"/>
        <v>538.73,227.225</v>
      </c>
      <c r="AE54" s="83">
        <f t="shared" si="80"/>
        <v>17</v>
      </c>
      <c r="AF54" s="81" t="s">
        <v>46</v>
      </c>
      <c r="AG54" s="82" t="str">
        <f t="shared" si="81"/>
        <v>538.73,197.5</v>
      </c>
      <c r="AH54" s="91" t="str">
        <f t="shared" si="82"/>
        <v>594.083376666667,197.5</v>
      </c>
      <c r="AJ54" s="83">
        <f t="shared" si="83"/>
        <v>17</v>
      </c>
      <c r="AK54" s="81" t="s">
        <v>82</v>
      </c>
      <c r="AL54" s="92" t="str">
        <f t="shared" si="84"/>
        <v>538.73,227.225</v>
      </c>
      <c r="AM54" s="93" t="str">
        <f t="shared" si="85"/>
        <v>602.818543516667,227.225</v>
      </c>
      <c r="AS54" s="69">
        <v>18</v>
      </c>
      <c r="AT54" s="194" t="str">
        <f t="shared" si="43"/>
        <v>PO 570.42,0</v>
      </c>
      <c r="AU54" s="194" t="str">
        <f t="shared" si="44"/>
        <v>PO 572.517708333333,12.5</v>
      </c>
      <c r="AV54" s="194" t="str">
        <f t="shared" si="45"/>
        <v>PO 574.959075,25</v>
      </c>
      <c r="AW54" s="194" t="str">
        <f t="shared" si="46"/>
        <v>PO 580.246708333333,50</v>
      </c>
      <c r="AX54" s="194" t="str">
        <f t="shared" si="47"/>
        <v>PO 585.875275,75</v>
      </c>
      <c r="AY54" s="194" t="str">
        <f t="shared" si="48"/>
        <v>PO 591.788475,100</v>
      </c>
      <c r="AZ54" s="194" t="str">
        <f t="shared" si="49"/>
        <v>PO 597.937408333333,125</v>
      </c>
      <c r="BA54" s="194" t="str">
        <f t="shared" si="50"/>
        <v>PO 604.266308333333,150</v>
      </c>
      <c r="BB54" s="194" t="str">
        <f t="shared" si="51"/>
        <v>PO 607.486283333333,162.5</v>
      </c>
      <c r="BC54" s="194" t="str">
        <f t="shared" si="52"/>
        <v>PO 612.048813333333,180</v>
      </c>
      <c r="BD54" s="194" t="str">
        <f t="shared" si="53"/>
        <v>PO 616.669431666667,197.5</v>
      </c>
      <c r="BE54" s="194" t="str">
        <f t="shared" si="54"/>
        <v>PO 626.183606953333,234.71</v>
      </c>
    </row>
    <row r="55" spans="1:57" ht="15" thickBot="1" x14ac:dyDescent="0.35">
      <c r="A55" s="83">
        <f t="shared" si="55"/>
        <v>18</v>
      </c>
      <c r="B55" s="81" t="s">
        <v>40</v>
      </c>
      <c r="C55" s="82" t="str">
        <f t="shared" si="56"/>
        <v>570.42,0</v>
      </c>
      <c r="D55" s="82" t="str">
        <f t="shared" si="57"/>
        <v>572.517708333333,12.5</v>
      </c>
      <c r="E55" s="82" t="str">
        <f t="shared" si="58"/>
        <v>574.959075,25</v>
      </c>
      <c r="F55" s="82" t="str">
        <f t="shared" si="59"/>
        <v>580.246708333333,50</v>
      </c>
      <c r="G55" s="82" t="str">
        <f t="shared" si="60"/>
        <v>585.875275,75</v>
      </c>
      <c r="H55" s="82" t="str">
        <f t="shared" si="61"/>
        <v>591.788475,100</v>
      </c>
      <c r="I55" s="82" t="str">
        <f t="shared" si="86"/>
        <v>597.937408333333,125</v>
      </c>
      <c r="J55" s="82" t="str">
        <f t="shared" si="62"/>
        <v>604.266308333333,150</v>
      </c>
      <c r="K55" s="82" t="str">
        <f t="shared" si="63"/>
        <v>607.486283333333,162.5</v>
      </c>
      <c r="L55" s="82" t="str">
        <f t="shared" si="64"/>
        <v>612.048813333333,180</v>
      </c>
      <c r="M55" s="82" t="str">
        <f t="shared" si="65"/>
        <v>616.669431666667,197.5</v>
      </c>
      <c r="N55" s="84" t="str">
        <f t="shared" si="66"/>
        <v>626.183606953333,234.71</v>
      </c>
      <c r="P55" s="83">
        <f t="shared" si="67"/>
        <v>18</v>
      </c>
      <c r="Q55" s="81" t="s">
        <v>40</v>
      </c>
      <c r="R55" s="82" t="str">
        <f t="shared" si="68"/>
        <v>570.42,0</v>
      </c>
      <c r="S55" s="82" t="str">
        <f t="shared" si="69"/>
        <v>570.42,12.5</v>
      </c>
      <c r="T55" s="82" t="str">
        <f t="shared" si="70"/>
        <v>570.42,25</v>
      </c>
      <c r="U55" s="82" t="str">
        <f t="shared" si="71"/>
        <v>570.42,50</v>
      </c>
      <c r="V55" s="82" t="str">
        <f t="shared" si="72"/>
        <v>570.42,75</v>
      </c>
      <c r="W55" s="82" t="str">
        <f t="shared" si="73"/>
        <v>570.42,100</v>
      </c>
      <c r="X55" s="82" t="str">
        <f t="shared" si="74"/>
        <v>570.42,125</v>
      </c>
      <c r="Y55" s="82" t="str">
        <f t="shared" si="75"/>
        <v>570.42,150</v>
      </c>
      <c r="Z55" s="82" t="str">
        <f t="shared" si="76"/>
        <v>570.42,162.5</v>
      </c>
      <c r="AA55" s="82" t="str">
        <f t="shared" si="77"/>
        <v>570.42,180</v>
      </c>
      <c r="AB55" s="82" t="str">
        <f t="shared" si="78"/>
        <v>570.42,197.5</v>
      </c>
      <c r="AC55" s="84" t="str">
        <f t="shared" si="79"/>
        <v>570.42,234.71</v>
      </c>
      <c r="AE55" s="83">
        <f t="shared" si="80"/>
        <v>18</v>
      </c>
      <c r="AF55" s="81" t="s">
        <v>46</v>
      </c>
      <c r="AG55" s="82" t="str">
        <f t="shared" si="81"/>
        <v>570.42,197.5</v>
      </c>
      <c r="AH55" s="91" t="str">
        <f t="shared" si="82"/>
        <v>616.669431666667,197.5</v>
      </c>
      <c r="AJ55" s="83">
        <f t="shared" si="83"/>
        <v>18</v>
      </c>
      <c r="AK55" s="81" t="s">
        <v>82</v>
      </c>
      <c r="AL55" s="92" t="str">
        <f t="shared" si="84"/>
        <v>570.42,234.71</v>
      </c>
      <c r="AM55" s="93" t="str">
        <f t="shared" si="85"/>
        <v>626.183606953333,234.71</v>
      </c>
      <c r="AS55" s="69">
        <v>18.5</v>
      </c>
      <c r="AT55" s="194" t="str">
        <f t="shared" si="43"/>
        <v>PO 586.265,0</v>
      </c>
      <c r="AU55" s="194" t="str">
        <f t="shared" si="44"/>
        <v>PO 587.875625,12.5</v>
      </c>
      <c r="AV55" s="194" t="str">
        <f t="shared" si="45"/>
        <v>PO 589.899741666667,25</v>
      </c>
      <c r="AW55" s="194" t="str">
        <f t="shared" si="46"/>
        <v>PO 594.182675,50</v>
      </c>
      <c r="AX55" s="194" t="str">
        <f t="shared" si="47"/>
        <v>PO 598.845841666667,75</v>
      </c>
      <c r="AY55" s="194" t="str">
        <f t="shared" si="48"/>
        <v>PO 603.823875,100</v>
      </c>
      <c r="AZ55" s="194" t="str">
        <f t="shared" si="49"/>
        <v>PO 609.170225,125</v>
      </c>
      <c r="BA55" s="194" t="str">
        <f t="shared" si="50"/>
        <v>PO 614.748808333333,150</v>
      </c>
      <c r="BB55" s="194" t="str">
        <f t="shared" si="51"/>
        <v>PO 617.568775,162.5</v>
      </c>
      <c r="BC55" s="194" t="str">
        <f t="shared" si="52"/>
        <v>PO 621.587113333333,180</v>
      </c>
      <c r="BD55" s="194" t="str">
        <f t="shared" si="53"/>
        <v>PO 625.67831,197.5</v>
      </c>
      <c r="BE55" s="194" t="str">
        <f t="shared" si="54"/>
        <v>PO 634.934232346667,238.46</v>
      </c>
    </row>
    <row r="56" spans="1:57" ht="15" thickBot="1" x14ac:dyDescent="0.35">
      <c r="A56" s="83">
        <f t="shared" si="55"/>
        <v>18.5</v>
      </c>
      <c r="B56" s="81" t="s">
        <v>40</v>
      </c>
      <c r="C56" s="82" t="str">
        <f t="shared" si="56"/>
        <v>586.265,0</v>
      </c>
      <c r="D56" s="82" t="str">
        <f t="shared" si="57"/>
        <v>587.875625,12.5</v>
      </c>
      <c r="E56" s="82" t="str">
        <f t="shared" si="58"/>
        <v>589.899741666667,25</v>
      </c>
      <c r="F56" s="82" t="str">
        <f t="shared" si="59"/>
        <v>594.182675,50</v>
      </c>
      <c r="G56" s="82" t="str">
        <f t="shared" si="60"/>
        <v>598.845841666667,75</v>
      </c>
      <c r="H56" s="82" t="str">
        <f t="shared" si="61"/>
        <v>603.823875,100</v>
      </c>
      <c r="I56" s="82" t="str">
        <f t="shared" si="86"/>
        <v>609.170225,125</v>
      </c>
      <c r="J56" s="82" t="str">
        <f t="shared" si="62"/>
        <v>614.748808333333,150</v>
      </c>
      <c r="K56" s="82" t="str">
        <f t="shared" si="63"/>
        <v>617.568775,162.5</v>
      </c>
      <c r="L56" s="82" t="str">
        <f t="shared" si="64"/>
        <v>621.587113333333,180</v>
      </c>
      <c r="M56" s="82" t="str">
        <f t="shared" si="65"/>
        <v>625.67831,197.5</v>
      </c>
      <c r="N56" s="84" t="str">
        <f t="shared" si="66"/>
        <v>634.934232346667,238.46</v>
      </c>
      <c r="P56" s="83">
        <f t="shared" si="67"/>
        <v>18.5</v>
      </c>
      <c r="Q56" s="81" t="s">
        <v>40</v>
      </c>
      <c r="R56" s="82" t="str">
        <f t="shared" si="68"/>
        <v>586.265,0</v>
      </c>
      <c r="S56" s="82" t="str">
        <f t="shared" si="69"/>
        <v>586.265,12.5</v>
      </c>
      <c r="T56" s="82" t="str">
        <f t="shared" si="70"/>
        <v>586.265,25</v>
      </c>
      <c r="U56" s="82" t="str">
        <f t="shared" si="71"/>
        <v>586.265,50</v>
      </c>
      <c r="V56" s="82" t="str">
        <f t="shared" si="72"/>
        <v>586.265,75</v>
      </c>
      <c r="W56" s="82" t="str">
        <f t="shared" si="73"/>
        <v>586.265,100</v>
      </c>
      <c r="X56" s="82" t="str">
        <f t="shared" si="74"/>
        <v>586.265,125</v>
      </c>
      <c r="Y56" s="82" t="str">
        <f t="shared" si="75"/>
        <v>586.265,150</v>
      </c>
      <c r="Z56" s="82" t="str">
        <f t="shared" si="76"/>
        <v>586.265,162.5</v>
      </c>
      <c r="AA56" s="82" t="str">
        <f t="shared" si="77"/>
        <v>586.265,180</v>
      </c>
      <c r="AB56" s="82" t="str">
        <f t="shared" si="78"/>
        <v>586.265,197.5</v>
      </c>
      <c r="AC56" s="84" t="str">
        <f t="shared" si="79"/>
        <v>586.265,238.46</v>
      </c>
      <c r="AE56" s="83">
        <f t="shared" si="80"/>
        <v>18.5</v>
      </c>
      <c r="AF56" s="81" t="s">
        <v>46</v>
      </c>
      <c r="AG56" s="82" t="str">
        <f t="shared" si="81"/>
        <v>586.265,197.5</v>
      </c>
      <c r="AH56" s="91" t="str">
        <f t="shared" si="82"/>
        <v>625.67831,197.5</v>
      </c>
      <c r="AJ56" s="83">
        <f t="shared" si="83"/>
        <v>18.5</v>
      </c>
      <c r="AK56" s="81" t="s">
        <v>82</v>
      </c>
      <c r="AL56" s="92" t="str">
        <f t="shared" si="84"/>
        <v>586.265,238.46</v>
      </c>
      <c r="AM56" s="93" t="str">
        <f t="shared" si="85"/>
        <v>634.934232346667,238.46</v>
      </c>
      <c r="AS56" s="69">
        <v>19</v>
      </c>
      <c r="AT56" s="194" t="str">
        <f t="shared" si="43"/>
        <v>PO -,0</v>
      </c>
      <c r="AU56" s="194" t="str">
        <f t="shared" si="44"/>
        <v>PO 603.044058333333,12.5</v>
      </c>
      <c r="AV56" s="194" t="str">
        <f t="shared" si="45"/>
        <v>PO 604.33935,25</v>
      </c>
      <c r="AW56" s="194" t="str">
        <f t="shared" si="46"/>
        <v>PO 607.3168,50</v>
      </c>
      <c r="AX56" s="194" t="str">
        <f t="shared" si="47"/>
        <v>PO 610.706383333333,75</v>
      </c>
      <c r="AY56" s="194" t="str">
        <f t="shared" si="48"/>
        <v>PO 614.4211,100</v>
      </c>
      <c r="AZ56" s="194" t="str">
        <f t="shared" si="49"/>
        <v>PO 618.438583333333,125</v>
      </c>
      <c r="BA56" s="194" t="str">
        <f t="shared" si="50"/>
        <v>PO 622.728816666667,150</v>
      </c>
      <c r="BB56" s="194" t="str">
        <f t="shared" si="51"/>
        <v>PO 624.964316666667,162.5</v>
      </c>
      <c r="BC56" s="194" t="str">
        <f t="shared" si="52"/>
        <v>PO 628.181822333333,180</v>
      </c>
      <c r="BD56" s="194" t="str">
        <f t="shared" si="53"/>
        <v>PO 631.498553,197.5</v>
      </c>
      <c r="BE56" s="194" t="str">
        <f t="shared" si="54"/>
        <v>PO 639.779255243333,242.195</v>
      </c>
    </row>
    <row r="57" spans="1:57" ht="15" thickBot="1" x14ac:dyDescent="0.35">
      <c r="A57" s="83">
        <f t="shared" si="55"/>
        <v>19</v>
      </c>
      <c r="B57" s="81" t="s">
        <v>40</v>
      </c>
      <c r="C57" s="82" t="str">
        <f t="shared" ref="C57" si="88">IF(U$2&lt;$T26,IF(V$2&lt;$T26,U26,$S26),U26)&amp;","&amp;AR24</f>
        <v>602.11,1.275</v>
      </c>
      <c r="D57" s="82" t="str">
        <f t="shared" ref="D57" si="89">IF(V$2&lt;$T26,IF(W$2&lt;$T26,V26,$S26),V26)&amp;","&amp;AS24</f>
        <v>603.044058333333,12.5</v>
      </c>
      <c r="E57" s="82" t="str">
        <f t="shared" ref="E57" si="90">IF(W$2&lt;$T26,IF(X$2&lt;$T26,W26,$S26),W26)&amp;","&amp;AT24</f>
        <v>604.33935,25</v>
      </c>
      <c r="F57" s="82" t="str">
        <f t="shared" ref="F57" si="91">IF(X$2&lt;$T26,IF(Y$2&lt;$T26,X26,$S26),X26)&amp;","&amp;AU24</f>
        <v>607.3168,50</v>
      </c>
      <c r="G57" s="82" t="str">
        <f t="shared" ref="G57" si="92">IF(Y$2&lt;$T26,IF(Z$2&lt;$T26,Y26,$S26),Y26)&amp;","&amp;AV24</f>
        <v>610.706383333333,75</v>
      </c>
      <c r="H57" s="82" t="str">
        <f t="shared" ref="H57" si="93">IF(Z$2&lt;$T26,IF(AA$2&lt;$T26,Z26,$S26),Z26)&amp;","&amp;AW24</f>
        <v>614.4211,100</v>
      </c>
      <c r="I57" s="82" t="str">
        <f t="shared" ref="I57" si="94">IF(AA$2&lt;$T26,IF(AB$2&lt;$T26,AA26,$S26),AA26)&amp;","&amp;AX24</f>
        <v>618.438583333333,125</v>
      </c>
      <c r="J57" s="82" t="str">
        <f t="shared" ref="J57" si="95">IF(AB$2&lt;$T26,IF(AC$2&lt;$T26,AB26,$S26),AB26)&amp;","&amp;AY24</f>
        <v>622.728816666667,150</v>
      </c>
      <c r="K57" s="82" t="str">
        <f t="shared" ref="K57" si="96">IF(AC$2&lt;$T26,IF(AD$2&lt;$T26,AC26,$S26),AC26)&amp;","&amp;AZ24</f>
        <v>624.964316666667,162.5</v>
      </c>
      <c r="L57" s="82" t="str">
        <f t="shared" ref="L57" si="97">IF(AD$2&lt;$T26,IF(AE$2&lt;$T26,AD26,$S26),AD26)&amp;","&amp;BA24</f>
        <v>628.181822333333,180</v>
      </c>
      <c r="M57" s="82" t="str">
        <f t="shared" ref="M57" si="98">IF(AE$2&lt;$T26,IF($AG26&lt;$T26,AE26,$S26),AE26)&amp;","&amp;BB24</f>
        <v>631.498553,197.5</v>
      </c>
      <c r="N57" s="84" t="str">
        <f t="shared" ref="N57" si="99">AF26&amp;","&amp;BC24</f>
        <v>639.779255243333,242.195</v>
      </c>
      <c r="P57" s="83">
        <f t="shared" si="67"/>
        <v>19</v>
      </c>
      <c r="Q57" s="81" t="s">
        <v>40</v>
      </c>
      <c r="R57" s="82" t="str">
        <f t="shared" si="68"/>
        <v>602.11,1.275</v>
      </c>
      <c r="S57" s="82" t="str">
        <f t="shared" si="69"/>
        <v>602.11,12.5</v>
      </c>
      <c r="T57" s="82" t="str">
        <f t="shared" si="70"/>
        <v>602.11,25</v>
      </c>
      <c r="U57" s="82" t="str">
        <f t="shared" si="71"/>
        <v>602.11,50</v>
      </c>
      <c r="V57" s="82" t="str">
        <f t="shared" si="72"/>
        <v>602.11,75</v>
      </c>
      <c r="W57" s="82" t="str">
        <f t="shared" si="73"/>
        <v>602.11,100</v>
      </c>
      <c r="X57" s="82" t="str">
        <f t="shared" si="74"/>
        <v>602.11,125</v>
      </c>
      <c r="Y57" s="82" t="str">
        <f t="shared" si="75"/>
        <v>602.11,150</v>
      </c>
      <c r="Z57" s="82" t="str">
        <f t="shared" si="76"/>
        <v>602.11,162.5</v>
      </c>
      <c r="AA57" s="82" t="str">
        <f t="shared" si="77"/>
        <v>602.11,180</v>
      </c>
      <c r="AB57" s="82" t="str">
        <f t="shared" si="78"/>
        <v>602.11,197.5</v>
      </c>
      <c r="AC57" s="84" t="str">
        <f t="shared" si="79"/>
        <v>602.11,242.195</v>
      </c>
      <c r="AE57" s="83">
        <f t="shared" si="80"/>
        <v>19</v>
      </c>
      <c r="AF57" s="81" t="s">
        <v>46</v>
      </c>
      <c r="AG57" s="82" t="str">
        <f t="shared" si="81"/>
        <v>602.11,197.5</v>
      </c>
      <c r="AH57" s="91" t="str">
        <f t="shared" si="82"/>
        <v>631.498553,197.5</v>
      </c>
      <c r="AJ57" s="83">
        <f t="shared" si="83"/>
        <v>19</v>
      </c>
      <c r="AK57" s="81" t="s">
        <v>82</v>
      </c>
      <c r="AL57" s="92" t="str">
        <f t="shared" si="84"/>
        <v>602.11,242.195</v>
      </c>
      <c r="AM57" s="93" t="str">
        <f t="shared" si="85"/>
        <v>639.779255243333,242.195</v>
      </c>
      <c r="AS57" s="69">
        <v>19.5</v>
      </c>
      <c r="AT57" s="194" t="str">
        <f t="shared" si="43"/>
        <v>PO -,0</v>
      </c>
      <c r="AU57" s="194" t="str">
        <f t="shared" si="44"/>
        <v>PO 617.98925,12.5</v>
      </c>
      <c r="AV57" s="194" t="str">
        <f t="shared" si="45"/>
        <v>PO 618.348708333333,25</v>
      </c>
      <c r="AW57" s="194" t="str">
        <f t="shared" si="46"/>
        <v>PO 619.542675,50</v>
      </c>
      <c r="AX57" s="194" t="str">
        <f t="shared" si="47"/>
        <v>PO 621.167825,75</v>
      </c>
      <c r="AY57" s="194" t="str">
        <f t="shared" si="48"/>
        <v>PO 623.138675,100</v>
      </c>
      <c r="AZ57" s="194" t="str">
        <f t="shared" si="49"/>
        <v>PO 625.402958333333,125</v>
      </c>
      <c r="BA57" s="194" t="str">
        <f t="shared" si="50"/>
        <v>PO 627.942941666667,150</v>
      </c>
      <c r="BB57" s="194" t="str">
        <f t="shared" si="51"/>
        <v>PO 629.311658333333,162.5</v>
      </c>
      <c r="BC57" s="194" t="str">
        <f t="shared" si="52"/>
        <v>PO 631.333305,180</v>
      </c>
      <c r="BD57" s="194" t="str">
        <f t="shared" si="53"/>
        <v>PO 633.4923535,197.5</v>
      </c>
      <c r="BE57" s="194" t="str">
        <f t="shared" si="54"/>
        <v>PO 639.789631849,245.945</v>
      </c>
    </row>
    <row r="58" spans="1:57" ht="15" thickBot="1" x14ac:dyDescent="0.35">
      <c r="A58" s="83">
        <f t="shared" si="55"/>
        <v>19.5</v>
      </c>
      <c r="B58" s="81" t="s">
        <v>40</v>
      </c>
      <c r="C58" s="82" t="str">
        <f t="shared" si="56"/>
        <v>617.955,6.9</v>
      </c>
      <c r="D58" s="82" t="str">
        <f t="shared" si="57"/>
        <v>617.98925,12.5</v>
      </c>
      <c r="E58" s="82" t="str">
        <f t="shared" si="58"/>
        <v>618.348708333333,25</v>
      </c>
      <c r="F58" s="82" t="str">
        <f t="shared" si="59"/>
        <v>619.542675,50</v>
      </c>
      <c r="G58" s="82" t="str">
        <f t="shared" si="60"/>
        <v>621.167825,75</v>
      </c>
      <c r="H58" s="82" t="str">
        <f t="shared" si="61"/>
        <v>623.138675,100</v>
      </c>
      <c r="I58" s="82" t="str">
        <f t="shared" si="86"/>
        <v>625.402958333333,125</v>
      </c>
      <c r="J58" s="82" t="str">
        <f t="shared" si="62"/>
        <v>627.942941666667,150</v>
      </c>
      <c r="K58" s="82" t="str">
        <f t="shared" si="63"/>
        <v>629.311658333333,162.5</v>
      </c>
      <c r="L58" s="82" t="str">
        <f t="shared" si="64"/>
        <v>631.333305,180</v>
      </c>
      <c r="M58" s="82" t="str">
        <f t="shared" si="65"/>
        <v>633.4923535,197.5</v>
      </c>
      <c r="N58" s="84" t="str">
        <f t="shared" si="66"/>
        <v>639.789631849,245.945</v>
      </c>
      <c r="P58" s="83">
        <f t="shared" si="67"/>
        <v>19.5</v>
      </c>
      <c r="Q58" s="81" t="s">
        <v>40</v>
      </c>
      <c r="R58" s="82" t="str">
        <f t="shared" si="68"/>
        <v>617.955,6.9</v>
      </c>
      <c r="S58" s="82" t="str">
        <f t="shared" si="69"/>
        <v>617.955,12.5</v>
      </c>
      <c r="T58" s="82" t="str">
        <f t="shared" si="70"/>
        <v>617.955,25</v>
      </c>
      <c r="U58" s="82" t="str">
        <f t="shared" si="71"/>
        <v>617.955,50</v>
      </c>
      <c r="V58" s="82" t="str">
        <f t="shared" si="72"/>
        <v>617.955,75</v>
      </c>
      <c r="W58" s="82" t="str">
        <f t="shared" si="73"/>
        <v>617.955,100</v>
      </c>
      <c r="X58" s="82" t="str">
        <f t="shared" si="74"/>
        <v>617.955,125</v>
      </c>
      <c r="Y58" s="82" t="str">
        <f t="shared" si="75"/>
        <v>617.955,150</v>
      </c>
      <c r="Z58" s="82" t="str">
        <f t="shared" si="76"/>
        <v>617.955,162.5</v>
      </c>
      <c r="AA58" s="82" t="str">
        <f t="shared" si="77"/>
        <v>617.955,180</v>
      </c>
      <c r="AB58" s="82" t="str">
        <f t="shared" si="78"/>
        <v>617.955,197.5</v>
      </c>
      <c r="AC58" s="84" t="str">
        <f t="shared" si="79"/>
        <v>617.955,245.945</v>
      </c>
      <c r="AE58" s="83">
        <f t="shared" si="80"/>
        <v>19.5</v>
      </c>
      <c r="AF58" s="81" t="s">
        <v>46</v>
      </c>
      <c r="AG58" s="82" t="str">
        <f t="shared" si="81"/>
        <v>617.955,197.5</v>
      </c>
      <c r="AH58" s="91" t="str">
        <f t="shared" si="82"/>
        <v>633.4923535,197.5</v>
      </c>
      <c r="AJ58" s="83">
        <f t="shared" si="83"/>
        <v>19.5</v>
      </c>
      <c r="AK58" s="81" t="s">
        <v>82</v>
      </c>
      <c r="AL58" s="92" t="str">
        <f t="shared" si="84"/>
        <v>617.955,245.945</v>
      </c>
      <c r="AM58" s="93" t="str">
        <f t="shared" si="85"/>
        <v>639.789631849,245.945</v>
      </c>
      <c r="AS58" s="69" t="s">
        <v>21</v>
      </c>
      <c r="AT58" s="194" t="str">
        <f t="shared" si="43"/>
        <v>PO -,0</v>
      </c>
      <c r="AU58" s="194" t="str">
        <f t="shared" si="44"/>
        <v>PO -,12.5</v>
      </c>
      <c r="AV58" s="194" t="str">
        <f t="shared" si="45"/>
        <v>PO -,25</v>
      </c>
      <c r="AW58" s="194" t="str">
        <f t="shared" si="46"/>
        <v>PO -,50</v>
      </c>
      <c r="AX58" s="194" t="str">
        <f t="shared" si="47"/>
        <v>PO -,75</v>
      </c>
      <c r="AY58" s="194" t="str">
        <f t="shared" si="48"/>
        <v>PO -,100</v>
      </c>
      <c r="AZ58" s="194" t="str">
        <f t="shared" si="49"/>
        <v>PO -,125</v>
      </c>
      <c r="BA58" s="194" t="str">
        <f t="shared" si="50"/>
        <v>PO 633.8,150</v>
      </c>
      <c r="BB58" s="194" t="str">
        <f t="shared" si="51"/>
        <v>PO 633.813533333333,162.5</v>
      </c>
      <c r="BC58" s="194" t="str">
        <f t="shared" si="52"/>
        <v>PO 634.000386666667,180</v>
      </c>
      <c r="BD58" s="194" t="str">
        <f t="shared" si="53"/>
        <v>PO 634.334076666667,197.5</v>
      </c>
      <c r="BE58" s="194" t="str">
        <f t="shared" si="54"/>
        <v>PO 636.402028913333,249.7175</v>
      </c>
    </row>
    <row r="59" spans="1:57" ht="15" thickBot="1" x14ac:dyDescent="0.35">
      <c r="A59" s="83" t="str">
        <f t="shared" si="55"/>
        <v>FP</v>
      </c>
      <c r="B59" s="81" t="s">
        <v>40</v>
      </c>
      <c r="C59" s="82" t="str">
        <f t="shared" si="56"/>
        <v>-,-</v>
      </c>
      <c r="D59" s="82" t="str">
        <f t="shared" si="57"/>
        <v>-,-</v>
      </c>
      <c r="E59" s="82" t="str">
        <f t="shared" si="58"/>
        <v>-,-</v>
      </c>
      <c r="F59" s="82" t="str">
        <f t="shared" si="59"/>
        <v>-,-</v>
      </c>
      <c r="G59" s="82" t="str">
        <f t="shared" si="60"/>
        <v>-,-</v>
      </c>
      <c r="H59" s="82" t="str">
        <f t="shared" si="61"/>
        <v>-,-</v>
      </c>
      <c r="I59" s="82" t="str">
        <f t="shared" si="86"/>
        <v>633.8,148.125</v>
      </c>
      <c r="J59" s="82" t="str">
        <f t="shared" si="62"/>
        <v>633.8,150</v>
      </c>
      <c r="K59" s="82" t="str">
        <f t="shared" si="63"/>
        <v>633.813533333333,162.5</v>
      </c>
      <c r="L59" s="82" t="str">
        <f t="shared" si="64"/>
        <v>634.000386666667,180</v>
      </c>
      <c r="M59" s="82" t="str">
        <f t="shared" si="65"/>
        <v>634.334076666667,197.5</v>
      </c>
      <c r="N59" s="84" t="str">
        <f t="shared" si="66"/>
        <v>636.402028913333,249.7175</v>
      </c>
      <c r="P59" s="83" t="str">
        <f t="shared" si="67"/>
        <v>FP</v>
      </c>
      <c r="Q59" s="81" t="s">
        <v>40</v>
      </c>
      <c r="R59" s="82" t="str">
        <f t="shared" si="68"/>
        <v>-,-</v>
      </c>
      <c r="S59" s="82" t="str">
        <f t="shared" si="69"/>
        <v>-,-</v>
      </c>
      <c r="T59" s="82" t="str">
        <f t="shared" si="70"/>
        <v>-,-</v>
      </c>
      <c r="U59" s="82" t="str">
        <f t="shared" si="71"/>
        <v>-,-</v>
      </c>
      <c r="V59" s="82" t="str">
        <f t="shared" si="72"/>
        <v>-,-</v>
      </c>
      <c r="W59" s="82" t="str">
        <f t="shared" si="73"/>
        <v>-,-</v>
      </c>
      <c r="X59" s="82" t="str">
        <f t="shared" si="74"/>
        <v>633.8,148.125</v>
      </c>
      <c r="Y59" s="82" t="str">
        <f t="shared" si="75"/>
        <v>633.8,150</v>
      </c>
      <c r="Z59" s="82" t="str">
        <f t="shared" si="76"/>
        <v>633.8,162.5</v>
      </c>
      <c r="AA59" s="82" t="str">
        <f t="shared" si="77"/>
        <v>633.8,180</v>
      </c>
      <c r="AB59" s="82" t="str">
        <f t="shared" si="78"/>
        <v>633.8,197.5</v>
      </c>
      <c r="AC59" s="84" t="str">
        <f t="shared" si="79"/>
        <v>633.8,249.7175</v>
      </c>
      <c r="AE59" s="83" t="str">
        <f t="shared" si="80"/>
        <v>FP</v>
      </c>
      <c r="AF59" s="81" t="s">
        <v>46</v>
      </c>
      <c r="AG59" s="82" t="str">
        <f t="shared" si="81"/>
        <v>633.8,197.5</v>
      </c>
      <c r="AH59" s="91" t="str">
        <f t="shared" si="82"/>
        <v>634.334076666667,197.5</v>
      </c>
      <c r="AJ59" s="83" t="str">
        <f t="shared" si="83"/>
        <v>FP</v>
      </c>
      <c r="AK59" s="81" t="s">
        <v>82</v>
      </c>
      <c r="AL59" s="92" t="str">
        <f t="shared" si="84"/>
        <v>633.8,249.7175</v>
      </c>
      <c r="AM59" s="93" t="str">
        <f t="shared" si="85"/>
        <v>636.402028913333,249.7175</v>
      </c>
    </row>
    <row r="60" spans="1:57" ht="15" thickBot="1" x14ac:dyDescent="0.35"/>
    <row r="61" spans="1:57" ht="15" thickBot="1" x14ac:dyDescent="0.35">
      <c r="B61" s="85"/>
      <c r="C61" s="68" t="s">
        <v>64</v>
      </c>
      <c r="I61" s="179" t="s">
        <v>65</v>
      </c>
      <c r="P61" s="170" t="s">
        <v>71</v>
      </c>
      <c r="Q61" s="171"/>
      <c r="R61" s="171"/>
      <c r="S61" s="171"/>
      <c r="T61" s="171"/>
      <c r="U61" s="171"/>
      <c r="V61" s="171"/>
      <c r="W61" s="171"/>
      <c r="X61" s="171"/>
      <c r="Y61" s="171"/>
      <c r="Z61" s="171"/>
      <c r="AA61" s="171"/>
      <c r="AB61" s="171"/>
      <c r="AC61" s="172"/>
      <c r="AE61"/>
      <c r="AF61"/>
      <c r="AG61"/>
      <c r="AH61"/>
      <c r="AI61"/>
      <c r="AJ61"/>
      <c r="AK61"/>
      <c r="AL61"/>
      <c r="AM61"/>
    </row>
    <row r="62" spans="1:57" ht="15" thickBot="1" x14ac:dyDescent="0.35">
      <c r="A62" s="83" t="str">
        <f>A35</f>
        <v>AP</v>
      </c>
      <c r="B62" s="168" t="s">
        <v>40</v>
      </c>
      <c r="C62" s="163" t="str">
        <f t="shared" ref="C62:C86" si="100">S4&amp;","&amp;$AG4</f>
        <v>0,222.3625</v>
      </c>
      <c r="D62" s="84" t="str">
        <f t="shared" ref="D62:D86" si="101">AF4&amp;","&amp;$AG4</f>
        <v>11.4793514666667,222.3625</v>
      </c>
      <c r="I62" s="180" t="s">
        <v>40</v>
      </c>
      <c r="P62" s="173" t="s">
        <v>40</v>
      </c>
      <c r="Q62" s="174" t="str">
        <f>R35</f>
        <v>-,-</v>
      </c>
      <c r="R62" s="174" t="str">
        <f t="shared" ref="R62:AB62" si="102">D35</f>
        <v>-,-</v>
      </c>
      <c r="S62" s="174" t="str">
        <f t="shared" si="102"/>
        <v>-,-</v>
      </c>
      <c r="T62" s="174" t="str">
        <f t="shared" si="102"/>
        <v>-,-</v>
      </c>
      <c r="U62" s="174" t="str">
        <f t="shared" si="102"/>
        <v>-,-</v>
      </c>
      <c r="V62" s="174" t="str">
        <f t="shared" si="102"/>
        <v>-,-</v>
      </c>
      <c r="W62" s="174" t="str">
        <f t="shared" si="102"/>
        <v>0,131.85</v>
      </c>
      <c r="X62" s="174" t="str">
        <f t="shared" si="102"/>
        <v>0.715733333333333,150</v>
      </c>
      <c r="Y62" s="174" t="str">
        <f t="shared" si="102"/>
        <v>1.74196666666667,162.5</v>
      </c>
      <c r="Z62" s="174" t="str">
        <f t="shared" si="102"/>
        <v>3.81393166666667,180</v>
      </c>
      <c r="AA62" s="174" t="str">
        <f t="shared" si="102"/>
        <v>6.56678666666667,197.5</v>
      </c>
      <c r="AB62" s="174" t="str">
        <f t="shared" si="102"/>
        <v>11.4793514666667,222.3625</v>
      </c>
      <c r="AC62" s="182"/>
      <c r="AE62"/>
      <c r="AF62"/>
      <c r="AG62"/>
      <c r="AH62"/>
      <c r="AI62"/>
      <c r="AJ62"/>
      <c r="AK62"/>
      <c r="AL62"/>
      <c r="AM62"/>
    </row>
    <row r="63" spans="1:57" ht="15" thickBot="1" x14ac:dyDescent="0.35">
      <c r="A63" s="83">
        <f t="shared" ref="A63:A86" si="103">A36</f>
        <v>0.5</v>
      </c>
      <c r="B63" s="168" t="s">
        <v>40</v>
      </c>
      <c r="C63" s="82" t="str">
        <f t="shared" si="100"/>
        <v>15.845,220.1875</v>
      </c>
      <c r="D63" s="91" t="str">
        <f t="shared" si="101"/>
        <v>34.6150103333333,220.1875</v>
      </c>
      <c r="I63" s="180" t="str">
        <f t="shared" ref="I63:I87" si="104">C62</f>
        <v>0,222.3625</v>
      </c>
      <c r="P63" s="173" t="s">
        <v>40</v>
      </c>
      <c r="Q63" s="174" t="str">
        <f t="shared" ref="Q63:Q86" si="105">C36</f>
        <v>-,-</v>
      </c>
      <c r="R63" s="174" t="str">
        <f t="shared" ref="R63:R86" si="106">D36</f>
        <v>15.845,13.65</v>
      </c>
      <c r="S63" s="174" t="str">
        <f t="shared" ref="S63:S86" si="107">E36</f>
        <v>15.8555,25</v>
      </c>
      <c r="T63" s="174" t="str">
        <f t="shared" ref="T63:T86" si="108">F36</f>
        <v>16.245,50</v>
      </c>
      <c r="U63" s="174" t="str">
        <f t="shared" ref="U63:U86" si="109">G36</f>
        <v>16.9657666666667,75</v>
      </c>
      <c r="V63" s="174" t="str">
        <f t="shared" ref="V63:V86" si="110">H36</f>
        <v>17.9054333333333,100</v>
      </c>
      <c r="W63" s="174" t="str">
        <f t="shared" ref="W63:W86" si="111">I36</f>
        <v>19.37015,125</v>
      </c>
      <c r="X63" s="174" t="str">
        <f t="shared" ref="X63:X86" si="112">J36</f>
        <v>21.7808333333333,150</v>
      </c>
      <c r="Y63" s="174" t="str">
        <f t="shared" ref="Y63:Y86" si="113">K36</f>
        <v>23.3886,162.5</v>
      </c>
      <c r="Z63" s="174" t="str">
        <f t="shared" ref="Z63:Z86" si="114">L36</f>
        <v>26.1589433333333,180</v>
      </c>
      <c r="AA63" s="174" t="str">
        <f t="shared" ref="AA63:AA86" si="115">M36</f>
        <v>29.5031233333333,197.5</v>
      </c>
      <c r="AB63" s="174" t="str">
        <f t="shared" ref="AB63:AB86" si="116">N36</f>
        <v>34.6150103333333,220.1875</v>
      </c>
      <c r="AC63" s="182"/>
      <c r="AE63"/>
      <c r="AF63"/>
      <c r="AG63"/>
      <c r="AH63"/>
      <c r="AI63"/>
      <c r="AJ63"/>
      <c r="AK63"/>
      <c r="AL63"/>
      <c r="AM63"/>
    </row>
    <row r="64" spans="1:57" ht="15" thickBot="1" x14ac:dyDescent="0.35">
      <c r="A64" s="83">
        <f t="shared" si="103"/>
        <v>1</v>
      </c>
      <c r="B64" s="168" t="s">
        <v>40</v>
      </c>
      <c r="C64" s="163" t="str">
        <f t="shared" si="100"/>
        <v>31.69,218.0225</v>
      </c>
      <c r="D64" s="84" t="str">
        <f t="shared" si="101"/>
        <v>58.52550949,218.0225</v>
      </c>
      <c r="I64" s="180" t="str">
        <f t="shared" si="104"/>
        <v>15.845,220.1875</v>
      </c>
      <c r="P64" s="173" t="s">
        <v>40</v>
      </c>
      <c r="Q64" s="174" t="str">
        <f t="shared" si="105"/>
        <v>31.69,1.725</v>
      </c>
      <c r="R64" s="174" t="str">
        <f t="shared" si="106"/>
        <v>31.8205083333333,12.5</v>
      </c>
      <c r="S64" s="174" t="str">
        <f t="shared" si="107"/>
        <v>32.1825166666667,25</v>
      </c>
      <c r="T64" s="174" t="str">
        <f t="shared" si="108"/>
        <v>33.3892666666667,50</v>
      </c>
      <c r="U64" s="174" t="str">
        <f t="shared" si="109"/>
        <v>34.9200166666667,75</v>
      </c>
      <c r="V64" s="174" t="str">
        <f t="shared" si="110"/>
        <v>37.1320166666667,100</v>
      </c>
      <c r="W64" s="174" t="str">
        <f t="shared" si="111"/>
        <v>39.9145833333333,125</v>
      </c>
      <c r="X64" s="174" t="str">
        <f t="shared" si="112"/>
        <v>43.5091833333333,150</v>
      </c>
      <c r="Y64" s="174" t="str">
        <f t="shared" si="113"/>
        <v>45.6894333333333,162.5</v>
      </c>
      <c r="Z64" s="174" t="str">
        <f t="shared" si="114"/>
        <v>49.220245,180</v>
      </c>
      <c r="AA64" s="174" t="str">
        <f t="shared" si="115"/>
        <v>53.324205,197.5</v>
      </c>
      <c r="AB64" s="174" t="str">
        <f t="shared" si="116"/>
        <v>58.52550949,218.0225</v>
      </c>
      <c r="AC64" s="182"/>
      <c r="AE64"/>
      <c r="AF64"/>
      <c r="AG64"/>
      <c r="AH64"/>
      <c r="AI64"/>
      <c r="AJ64"/>
      <c r="AK64"/>
      <c r="AL64"/>
      <c r="AM64"/>
    </row>
    <row r="65" spans="1:39" ht="15" thickBot="1" x14ac:dyDescent="0.35">
      <c r="A65" s="83">
        <f t="shared" si="103"/>
        <v>1.5</v>
      </c>
      <c r="B65" s="168" t="s">
        <v>40</v>
      </c>
      <c r="C65" s="82" t="str">
        <f t="shared" si="100"/>
        <v>47.535,215.8475</v>
      </c>
      <c r="D65" s="91" t="str">
        <f t="shared" si="101"/>
        <v>82.0187802016667,215.8475</v>
      </c>
      <c r="I65" s="180" t="str">
        <f t="shared" si="104"/>
        <v>31.69,218.0225</v>
      </c>
      <c r="P65" s="173" t="s">
        <v>40</v>
      </c>
      <c r="Q65" s="174" t="str">
        <f t="shared" si="105"/>
        <v>47.535,0</v>
      </c>
      <c r="R65" s="174" t="str">
        <f t="shared" si="106"/>
        <v>47.850225,12.5</v>
      </c>
      <c r="S65" s="174" t="str">
        <f t="shared" si="107"/>
        <v>48.4913166666667,25</v>
      </c>
      <c r="T65" s="174" t="str">
        <f t="shared" si="108"/>
        <v>50.3466,50</v>
      </c>
      <c r="U65" s="174" t="str">
        <f t="shared" si="109"/>
        <v>52.7151333333333,75</v>
      </c>
      <c r="V65" s="174" t="str">
        <f t="shared" si="110"/>
        <v>55.82665,100</v>
      </c>
      <c r="W65" s="174" t="str">
        <f t="shared" si="111"/>
        <v>59.6399333333333,125</v>
      </c>
      <c r="X65" s="174" t="str">
        <f t="shared" si="112"/>
        <v>64.3689666666667,150</v>
      </c>
      <c r="Y65" s="174" t="str">
        <f t="shared" si="113"/>
        <v>67.124875,162.5</v>
      </c>
      <c r="Z65" s="174" t="str">
        <f t="shared" si="114"/>
        <v>72.3485666666667,180</v>
      </c>
      <c r="AA65" s="174" t="str">
        <f t="shared" si="115"/>
        <v>77.0020966666667,197.5</v>
      </c>
      <c r="AB65" s="174" t="str">
        <f t="shared" si="116"/>
        <v>82.0187802016667,215.8475</v>
      </c>
      <c r="AC65" s="182"/>
      <c r="AE65"/>
      <c r="AF65"/>
      <c r="AG65"/>
      <c r="AH65"/>
      <c r="AI65"/>
      <c r="AJ65"/>
      <c r="AK65"/>
      <c r="AL65"/>
      <c r="AM65"/>
    </row>
    <row r="66" spans="1:39" ht="15" thickBot="1" x14ac:dyDescent="0.35">
      <c r="A66" s="83">
        <f t="shared" si="103"/>
        <v>2</v>
      </c>
      <c r="B66" s="168" t="s">
        <v>40</v>
      </c>
      <c r="C66" s="163" t="str">
        <f t="shared" si="100"/>
        <v>63.38,213.6475</v>
      </c>
      <c r="D66" s="84" t="str">
        <f t="shared" si="101"/>
        <v>103.055231911667,213.6475</v>
      </c>
      <c r="I66" s="180" t="str">
        <f t="shared" si="104"/>
        <v>47.535,215.8475</v>
      </c>
      <c r="P66" s="173" t="s">
        <v>40</v>
      </c>
      <c r="Q66" s="174" t="str">
        <f>C39</f>
        <v>63.38,0</v>
      </c>
      <c r="R66" s="174" t="str">
        <f t="shared" si="106"/>
        <v>63.8688166666667,12.5</v>
      </c>
      <c r="S66" s="174" t="str">
        <f t="shared" si="107"/>
        <v>64.7909583333333,25</v>
      </c>
      <c r="T66" s="174" t="str">
        <f t="shared" si="108"/>
        <v>67.3960916666667,50</v>
      </c>
      <c r="U66" s="174" t="str">
        <f t="shared" si="109"/>
        <v>70.6793583333333,75</v>
      </c>
      <c r="V66" s="174" t="str">
        <f t="shared" si="110"/>
        <v>74.8097416666667,100</v>
      </c>
      <c r="W66" s="174" t="str">
        <f t="shared" si="111"/>
        <v>79.673375,125</v>
      </c>
      <c r="X66" s="174" t="str">
        <f t="shared" si="112"/>
        <v>85.4267583333333,150</v>
      </c>
      <c r="Y66" s="174" t="str">
        <f t="shared" si="113"/>
        <v>88.6456,162.5</v>
      </c>
      <c r="Z66" s="174" t="str">
        <f t="shared" si="114"/>
        <v>93.4211983333333,180</v>
      </c>
      <c r="AA66" s="174" t="str">
        <f t="shared" si="115"/>
        <v>98.4151616666667,197.5</v>
      </c>
      <c r="AB66" s="174" t="str">
        <f t="shared" si="116"/>
        <v>103.055231911667,213.6475</v>
      </c>
      <c r="AC66" s="182"/>
      <c r="AE66"/>
      <c r="AF66"/>
      <c r="AG66"/>
      <c r="AH66"/>
      <c r="AI66"/>
      <c r="AJ66"/>
      <c r="AK66"/>
      <c r="AL66"/>
      <c r="AM66"/>
    </row>
    <row r="67" spans="1:39" ht="15" thickBot="1" x14ac:dyDescent="0.35">
      <c r="A67" s="83">
        <f t="shared" si="103"/>
        <v>3</v>
      </c>
      <c r="B67" s="168" t="s">
        <v>40</v>
      </c>
      <c r="C67" s="163" t="str">
        <f t="shared" si="100"/>
        <v>95.07,209.615</v>
      </c>
      <c r="D67" s="84" t="str">
        <f t="shared" si="101"/>
        <v>145.951922156667,209.615</v>
      </c>
      <c r="I67" s="180" t="str">
        <f t="shared" si="104"/>
        <v>63.38,213.6475</v>
      </c>
      <c r="P67" s="173" t="s">
        <v>40</v>
      </c>
      <c r="Q67" s="174" t="str">
        <f t="shared" si="105"/>
        <v>95.07,0</v>
      </c>
      <c r="R67" s="174" t="str">
        <f t="shared" si="106"/>
        <v>96.1307333333333,12.5</v>
      </c>
      <c r="S67" s="174" t="str">
        <f t="shared" si="107"/>
        <v>97.7612083333333,25</v>
      </c>
      <c r="T67" s="174" t="str">
        <f t="shared" si="108"/>
        <v>102.300358333333,50</v>
      </c>
      <c r="U67" s="174" t="str">
        <f t="shared" si="109"/>
        <v>107.408908333333,75</v>
      </c>
      <c r="V67" s="174" t="str">
        <f t="shared" si="110"/>
        <v>113.534225,100</v>
      </c>
      <c r="W67" s="174" t="str">
        <f t="shared" si="111"/>
        <v>120.322825,125</v>
      </c>
      <c r="X67" s="174" t="str">
        <f t="shared" si="112"/>
        <v>127.668708333333,150</v>
      </c>
      <c r="Y67" s="174" t="str">
        <f t="shared" si="113"/>
        <v>131.444691666667,162.5</v>
      </c>
      <c r="Z67" s="174" t="str">
        <f t="shared" si="114"/>
        <v>136.806201666667,180</v>
      </c>
      <c r="AA67" s="174" t="str">
        <f t="shared" si="115"/>
        <v>142.239975,197.5</v>
      </c>
      <c r="AB67" s="174" t="str">
        <f t="shared" si="116"/>
        <v>145.951922156667,209.615</v>
      </c>
      <c r="AC67" s="182"/>
      <c r="AE67"/>
      <c r="AF67"/>
      <c r="AG67"/>
      <c r="AH67"/>
      <c r="AI67"/>
      <c r="AJ67"/>
      <c r="AK67"/>
      <c r="AL67"/>
      <c r="AM67"/>
    </row>
    <row r="68" spans="1:39" ht="15" thickBot="1" x14ac:dyDescent="0.35">
      <c r="A68" s="83">
        <f t="shared" si="103"/>
        <v>4</v>
      </c>
      <c r="B68" s="168" t="s">
        <v>40</v>
      </c>
      <c r="C68" s="163" t="str">
        <f t="shared" si="100"/>
        <v>126.76,206.9425</v>
      </c>
      <c r="D68" s="84" t="str">
        <f t="shared" si="101"/>
        <v>186.525395098333,206.9425</v>
      </c>
      <c r="I68" s="180" t="str">
        <f t="shared" si="104"/>
        <v>95.07,209.615</v>
      </c>
      <c r="P68" s="173" t="s">
        <v>40</v>
      </c>
      <c r="Q68" s="174" t="str">
        <f t="shared" si="105"/>
        <v>126.76,0</v>
      </c>
      <c r="R68" s="174" t="str">
        <f t="shared" si="106"/>
        <v>128.752625,12.5</v>
      </c>
      <c r="S68" s="174" t="str">
        <f t="shared" si="107"/>
        <v>131.556116666667,25</v>
      </c>
      <c r="T68" s="174" t="str">
        <f t="shared" si="108"/>
        <v>137.956616666667,50</v>
      </c>
      <c r="U68" s="174" t="str">
        <f t="shared" si="109"/>
        <v>144.837733333333,75</v>
      </c>
      <c r="V68" s="174" t="str">
        <f t="shared" si="110"/>
        <v>152.472316666667,100</v>
      </c>
      <c r="W68" s="174" t="str">
        <f t="shared" si="111"/>
        <v>160.342066666667,125</v>
      </c>
      <c r="X68" s="174" t="str">
        <f t="shared" si="112"/>
        <v>168.30235,150</v>
      </c>
      <c r="Y68" s="174" t="str">
        <f t="shared" si="113"/>
        <v>172.301483333333,162.5</v>
      </c>
      <c r="Z68" s="174" t="str">
        <f t="shared" si="114"/>
        <v>177.916405,180</v>
      </c>
      <c r="AA68" s="174" t="str">
        <f t="shared" si="115"/>
        <v>183.547438333333,197.5</v>
      </c>
      <c r="AB68" s="174" t="str">
        <f t="shared" si="116"/>
        <v>186.525395098333,206.9425</v>
      </c>
      <c r="AC68" s="182"/>
      <c r="AE68"/>
      <c r="AF68"/>
      <c r="AG68"/>
      <c r="AH68"/>
      <c r="AI68"/>
      <c r="AJ68"/>
      <c r="AK68"/>
      <c r="AL68"/>
      <c r="AM68"/>
    </row>
    <row r="69" spans="1:39" ht="15" thickBot="1" x14ac:dyDescent="0.35">
      <c r="A69" s="83">
        <f t="shared" si="103"/>
        <v>5</v>
      </c>
      <c r="B69" s="168" t="s">
        <v>40</v>
      </c>
      <c r="C69" s="163" t="str">
        <f t="shared" si="100"/>
        <v>158.45,204.34</v>
      </c>
      <c r="D69" s="84" t="str">
        <f t="shared" si="101"/>
        <v>222.288893786667,204.34</v>
      </c>
      <c r="I69" s="180" t="str">
        <f t="shared" si="104"/>
        <v>126.76,206.9425</v>
      </c>
      <c r="P69" s="173" t="s">
        <v>40</v>
      </c>
      <c r="Q69" s="174" t="str">
        <f t="shared" si="105"/>
        <v>158.45,0</v>
      </c>
      <c r="R69" s="174" t="str">
        <f t="shared" si="106"/>
        <v>161.3001,12.5</v>
      </c>
      <c r="S69" s="174" t="str">
        <f t="shared" si="107"/>
        <v>164.753266666667,25</v>
      </c>
      <c r="T69" s="174" t="str">
        <f t="shared" si="108"/>
        <v>172.4313,50</v>
      </c>
      <c r="U69" s="174" t="str">
        <f t="shared" si="109"/>
        <v>180.3363,75</v>
      </c>
      <c r="V69" s="174" t="str">
        <f t="shared" si="110"/>
        <v>188.426066666667,100</v>
      </c>
      <c r="W69" s="174" t="str">
        <f t="shared" si="111"/>
        <v>196.540366666667,125</v>
      </c>
      <c r="X69" s="174" t="str">
        <f t="shared" si="112"/>
        <v>204.663483333333,150</v>
      </c>
      <c r="Y69" s="174" t="str">
        <f t="shared" si="113"/>
        <v>208.727283333333,162.5</v>
      </c>
      <c r="Z69" s="174" t="str">
        <f t="shared" si="114"/>
        <v>214.41861,180</v>
      </c>
      <c r="AA69" s="174" t="str">
        <f t="shared" si="115"/>
        <v>220.111826666667,197.5</v>
      </c>
      <c r="AB69" s="174" t="str">
        <f t="shared" si="116"/>
        <v>222.288893786667,204.34</v>
      </c>
      <c r="AC69" s="182"/>
      <c r="AE69"/>
      <c r="AF69"/>
      <c r="AG69"/>
      <c r="AH69"/>
      <c r="AI69"/>
      <c r="AJ69"/>
      <c r="AK69"/>
      <c r="AL69"/>
      <c r="AM69"/>
    </row>
    <row r="70" spans="1:39" ht="15" thickBot="1" x14ac:dyDescent="0.35">
      <c r="A70" s="83">
        <f t="shared" si="103"/>
        <v>6</v>
      </c>
      <c r="B70" s="168" t="s">
        <v>40</v>
      </c>
      <c r="C70" s="163" t="str">
        <f t="shared" si="100"/>
        <v>190.14,201.77</v>
      </c>
      <c r="D70" s="84" t="str">
        <f t="shared" si="101"/>
        <v>254.9440384,201.77</v>
      </c>
      <c r="I70" s="180" t="str">
        <f t="shared" si="104"/>
        <v>158.45,204.34</v>
      </c>
      <c r="P70" s="173" t="s">
        <v>40</v>
      </c>
      <c r="Q70" s="174" t="str">
        <f t="shared" si="105"/>
        <v>190.14,0</v>
      </c>
      <c r="R70" s="174" t="str">
        <f t="shared" si="106"/>
        <v>193.524766666667,12.5</v>
      </c>
      <c r="S70" s="174" t="str">
        <f t="shared" si="107"/>
        <v>197.475783333333,25</v>
      </c>
      <c r="T70" s="174" t="str">
        <f t="shared" si="108"/>
        <v>205.562666666667,50</v>
      </c>
      <c r="U70" s="174" t="str">
        <f t="shared" si="109"/>
        <v>213.68135,75</v>
      </c>
      <c r="V70" s="174" t="str">
        <f t="shared" si="110"/>
        <v>221.822683333333,100</v>
      </c>
      <c r="W70" s="174" t="str">
        <f t="shared" si="111"/>
        <v>229.96525,125</v>
      </c>
      <c r="X70" s="174" t="str">
        <f t="shared" si="112"/>
        <v>238.108666666667,150</v>
      </c>
      <c r="Y70" s="174" t="str">
        <f t="shared" si="113"/>
        <v>242.18065,162.5</v>
      </c>
      <c r="Z70" s="174" t="str">
        <f t="shared" si="114"/>
        <v>247.88145,180</v>
      </c>
      <c r="AA70" s="174" t="str">
        <f t="shared" si="115"/>
        <v>253.58225,197.5</v>
      </c>
      <c r="AB70" s="174" t="str">
        <f t="shared" si="116"/>
        <v>254.9440384,201.77</v>
      </c>
      <c r="AC70" s="182"/>
      <c r="AE70"/>
      <c r="AF70"/>
      <c r="AG70"/>
      <c r="AH70"/>
      <c r="AI70"/>
      <c r="AJ70"/>
      <c r="AK70"/>
      <c r="AL70"/>
      <c r="AM70"/>
    </row>
    <row r="71" spans="1:39" ht="15" thickBot="1" x14ac:dyDescent="0.35">
      <c r="A71" s="83">
        <f t="shared" si="103"/>
        <v>7</v>
      </c>
      <c r="B71" s="168" t="s">
        <v>40</v>
      </c>
      <c r="C71" s="163" t="str">
        <f t="shared" si="100"/>
        <v>221.83,200.36</v>
      </c>
      <c r="D71" s="84" t="str">
        <f t="shared" si="101"/>
        <v>286.764170466667,200.36</v>
      </c>
      <c r="I71" s="180" t="str">
        <f t="shared" si="104"/>
        <v>190.14,201.77</v>
      </c>
      <c r="P71" s="173" t="s">
        <v>40</v>
      </c>
      <c r="Q71" s="174" t="str">
        <f t="shared" si="105"/>
        <v>221.83,0</v>
      </c>
      <c r="R71" s="174" t="str">
        <f t="shared" si="106"/>
        <v>225.653933333333,12.5</v>
      </c>
      <c r="S71" s="174" t="str">
        <f t="shared" si="107"/>
        <v>229.673058333333,25</v>
      </c>
      <c r="T71" s="174" t="str">
        <f>F44</f>
        <v>237.803791666667,50</v>
      </c>
      <c r="U71" s="174" t="str">
        <f t="shared" si="109"/>
        <v>245.945525,75</v>
      </c>
      <c r="V71" s="174" t="str">
        <f t="shared" si="110"/>
        <v>254.089525,100</v>
      </c>
      <c r="W71" s="174" t="str">
        <f t="shared" si="111"/>
        <v>262.233525,125</v>
      </c>
      <c r="X71" s="174" t="str">
        <f t="shared" si="112"/>
        <v>270.377525,150</v>
      </c>
      <c r="Y71" s="174" t="str">
        <f t="shared" si="113"/>
        <v>274.449525,162.5</v>
      </c>
      <c r="Z71" s="174" t="str">
        <f t="shared" si="114"/>
        <v>280.150325,180</v>
      </c>
      <c r="AA71" s="174" t="str">
        <f t="shared" si="115"/>
        <v>285.851125,197.5</v>
      </c>
      <c r="AB71" s="174" t="str">
        <f t="shared" si="116"/>
        <v>286.764170466667,200.36</v>
      </c>
      <c r="AC71" s="182"/>
      <c r="AE71"/>
      <c r="AF71"/>
      <c r="AG71"/>
      <c r="AH71"/>
      <c r="AI71"/>
      <c r="AJ71"/>
      <c r="AK71"/>
      <c r="AL71"/>
      <c r="AM71"/>
    </row>
    <row r="72" spans="1:39" ht="15" thickBot="1" x14ac:dyDescent="0.35">
      <c r="A72" s="83">
        <f t="shared" si="103"/>
        <v>8</v>
      </c>
      <c r="B72" s="168" t="s">
        <v>40</v>
      </c>
      <c r="C72" s="163" t="str">
        <f t="shared" si="100"/>
        <v>253.52,199.3125</v>
      </c>
      <c r="D72" s="84" t="str">
        <f t="shared" si="101"/>
        <v>318.305745,199.3125</v>
      </c>
      <c r="I72" s="180" t="str">
        <f t="shared" si="104"/>
        <v>221.83,200.36</v>
      </c>
      <c r="P72" s="173" t="s">
        <v>40</v>
      </c>
      <c r="Q72" s="174" t="str">
        <f t="shared" si="105"/>
        <v>253.52,0</v>
      </c>
      <c r="R72" s="174" t="str">
        <f t="shared" si="106"/>
        <v>257.460966666667,12.5</v>
      </c>
      <c r="S72" s="174" t="str">
        <f t="shared" si="107"/>
        <v>261.532966666667,25</v>
      </c>
      <c r="T72" s="174" t="str">
        <f t="shared" si="108"/>
        <v>269.676966666667,50</v>
      </c>
      <c r="U72" s="174" t="str">
        <f t="shared" si="109"/>
        <v>277.820966666667,75</v>
      </c>
      <c r="V72" s="174" t="str">
        <f t="shared" si="110"/>
        <v>285.964966666667,100</v>
      </c>
      <c r="W72" s="174" t="str">
        <f t="shared" si="111"/>
        <v>294.108966666667,125</v>
      </c>
      <c r="X72" s="174" t="str">
        <f t="shared" si="112"/>
        <v>302.252966666667,150</v>
      </c>
      <c r="Y72" s="174" t="str">
        <f t="shared" si="113"/>
        <v>306.324966666667,162.5</v>
      </c>
      <c r="Z72" s="174" t="str">
        <f t="shared" si="114"/>
        <v>312.025766666667,180</v>
      </c>
      <c r="AA72" s="174" t="str">
        <f t="shared" si="115"/>
        <v>317.726566666667,197.5</v>
      </c>
      <c r="AB72" s="174" t="str">
        <f t="shared" si="116"/>
        <v>318.305745,199.3125</v>
      </c>
      <c r="AC72" s="182"/>
      <c r="AE72"/>
      <c r="AF72"/>
      <c r="AG72"/>
      <c r="AH72"/>
      <c r="AI72"/>
      <c r="AJ72"/>
      <c r="AK72"/>
      <c r="AL72"/>
      <c r="AM72"/>
    </row>
    <row r="73" spans="1:39" ht="15" thickBot="1" x14ac:dyDescent="0.35">
      <c r="A73" s="83">
        <f t="shared" si="103"/>
        <v>9</v>
      </c>
      <c r="B73" s="168" t="s">
        <v>40</v>
      </c>
      <c r="C73" s="163" t="str">
        <f t="shared" si="100"/>
        <v>285.21,198.4975</v>
      </c>
      <c r="D73" s="84" t="str">
        <f t="shared" si="101"/>
        <v>349.735387616667,198.4975</v>
      </c>
      <c r="I73" s="180" t="str">
        <f t="shared" si="104"/>
        <v>253.52,199.3125</v>
      </c>
      <c r="P73" s="173" t="s">
        <v>40</v>
      </c>
      <c r="Q73" s="174" t="str">
        <f t="shared" si="105"/>
        <v>285.21,0</v>
      </c>
      <c r="R73" s="174" t="str">
        <f t="shared" si="106"/>
        <v>289.150966666667,12.5</v>
      </c>
      <c r="S73" s="174" t="str">
        <f t="shared" si="107"/>
        <v>293.222966666667,25</v>
      </c>
      <c r="T73" s="174" t="str">
        <f t="shared" si="108"/>
        <v>301.366966666667,50</v>
      </c>
      <c r="U73" s="174" t="str">
        <f t="shared" si="109"/>
        <v>309.510966666667,75</v>
      </c>
      <c r="V73" s="174" t="str">
        <f t="shared" si="110"/>
        <v>317.654966666667,100</v>
      </c>
      <c r="W73" s="174" t="str">
        <f t="shared" si="111"/>
        <v>325.798966666667,125</v>
      </c>
      <c r="X73" s="174" t="str">
        <f t="shared" si="112"/>
        <v>333.942966666667,150</v>
      </c>
      <c r="Y73" s="174" t="str">
        <f t="shared" si="113"/>
        <v>338.014966666667,162.5</v>
      </c>
      <c r="Z73" s="174" t="str">
        <f t="shared" si="114"/>
        <v>343.715766666667,180</v>
      </c>
      <c r="AA73" s="174" t="str">
        <f t="shared" si="115"/>
        <v>349.416566666667,197.5</v>
      </c>
      <c r="AB73" s="174" t="str">
        <f t="shared" si="116"/>
        <v>349.735387616667,198.4975</v>
      </c>
      <c r="AC73" s="182"/>
      <c r="AE73"/>
      <c r="AF73"/>
      <c r="AG73"/>
      <c r="AH73"/>
      <c r="AI73"/>
      <c r="AJ73"/>
      <c r="AK73"/>
      <c r="AL73"/>
      <c r="AM73"/>
    </row>
    <row r="74" spans="1:39" ht="15" thickBot="1" x14ac:dyDescent="0.35">
      <c r="A74" s="83">
        <f t="shared" si="103"/>
        <v>10</v>
      </c>
      <c r="B74" s="168" t="s">
        <v>40</v>
      </c>
      <c r="C74" s="163" t="str">
        <f t="shared" si="100"/>
        <v>316.9,198.17</v>
      </c>
      <c r="D74" s="84" t="str">
        <f t="shared" si="101"/>
        <v>381.320712066667,198.17</v>
      </c>
      <c r="I74" s="180" t="str">
        <f t="shared" si="104"/>
        <v>285.21,198.4975</v>
      </c>
      <c r="P74" s="173" t="s">
        <v>40</v>
      </c>
      <c r="Q74" s="174" t="str">
        <f t="shared" si="105"/>
        <v>316.9,0</v>
      </c>
      <c r="R74" s="174" t="str">
        <f t="shared" si="106"/>
        <v>320.840966666667,12.5</v>
      </c>
      <c r="S74" s="174" t="str">
        <f t="shared" si="107"/>
        <v>324.912966666667,25</v>
      </c>
      <c r="T74" s="174" t="str">
        <f t="shared" si="108"/>
        <v>333.056966666667,50</v>
      </c>
      <c r="U74" s="174" t="str">
        <f t="shared" si="109"/>
        <v>341.200966666667,75</v>
      </c>
      <c r="V74" s="174" t="str">
        <f t="shared" si="110"/>
        <v>349.344966666667,100</v>
      </c>
      <c r="W74" s="174" t="str">
        <f t="shared" si="111"/>
        <v>357.488966666667,125</v>
      </c>
      <c r="X74" s="174" t="str">
        <f t="shared" si="112"/>
        <v>365.632966666667,150</v>
      </c>
      <c r="Y74" s="174" t="str">
        <f t="shared" si="113"/>
        <v>369.704966666667,162.5</v>
      </c>
      <c r="Z74" s="174" t="str">
        <f t="shared" si="114"/>
        <v>375.405766666667,180</v>
      </c>
      <c r="AA74" s="174" t="str">
        <f t="shared" si="115"/>
        <v>381.106566666667,197.5</v>
      </c>
      <c r="AB74" s="174" t="str">
        <f t="shared" si="116"/>
        <v>381.320712066667,198.17</v>
      </c>
      <c r="AC74" s="182"/>
      <c r="AE74"/>
      <c r="AF74"/>
      <c r="AG74"/>
      <c r="AH74"/>
      <c r="AI74"/>
      <c r="AJ74"/>
      <c r="AK74"/>
      <c r="AL74"/>
      <c r="AM74"/>
    </row>
    <row r="75" spans="1:39" ht="15" thickBot="1" x14ac:dyDescent="0.35">
      <c r="A75" s="83">
        <f t="shared" si="103"/>
        <v>11</v>
      </c>
      <c r="B75" s="168" t="s">
        <v>40</v>
      </c>
      <c r="C75" s="163" t="str">
        <f t="shared" si="100"/>
        <v>348.59,198.5325</v>
      </c>
      <c r="D75" s="84" t="str">
        <f t="shared" si="101"/>
        <v>413.126574316667,198.5325</v>
      </c>
      <c r="I75" s="180" t="str">
        <f t="shared" si="104"/>
        <v>316.9,198.17</v>
      </c>
      <c r="P75" s="173" t="s">
        <v>40</v>
      </c>
      <c r="Q75" s="174" t="str">
        <f t="shared" si="105"/>
        <v>348.59,0</v>
      </c>
      <c r="R75" s="174" t="str">
        <f t="shared" si="106"/>
        <v>352.530966666667,12.5</v>
      </c>
      <c r="S75" s="174" t="str">
        <f t="shared" si="107"/>
        <v>356.602966666667,25</v>
      </c>
      <c r="T75" s="174" t="str">
        <f t="shared" si="108"/>
        <v>364.746966666667,50</v>
      </c>
      <c r="U75" s="174" t="str">
        <f t="shared" si="109"/>
        <v>372.890966666667,75</v>
      </c>
      <c r="V75" s="174" t="str">
        <f t="shared" si="110"/>
        <v>381.034966666667,100</v>
      </c>
      <c r="W75" s="174" t="str">
        <f t="shared" si="111"/>
        <v>389.178966666667,125</v>
      </c>
      <c r="X75" s="174" t="str">
        <f t="shared" si="112"/>
        <v>397.322966666667,150</v>
      </c>
      <c r="Y75" s="174" t="str">
        <f t="shared" si="113"/>
        <v>401.394966666667,162.5</v>
      </c>
      <c r="Z75" s="174" t="str">
        <f t="shared" si="114"/>
        <v>407.095766666667,180</v>
      </c>
      <c r="AA75" s="174" t="str">
        <f t="shared" si="115"/>
        <v>412.796566666667,197.5</v>
      </c>
      <c r="AB75" s="174" t="str">
        <f t="shared" si="116"/>
        <v>413.126574316667,198.5325</v>
      </c>
      <c r="AC75" s="182"/>
      <c r="AE75"/>
      <c r="AF75"/>
      <c r="AG75"/>
      <c r="AH75"/>
      <c r="AI75"/>
      <c r="AJ75"/>
      <c r="AK75"/>
      <c r="AL75"/>
      <c r="AM75"/>
    </row>
    <row r="76" spans="1:39" ht="15" thickBot="1" x14ac:dyDescent="0.35">
      <c r="A76" s="83">
        <f t="shared" si="103"/>
        <v>12</v>
      </c>
      <c r="B76" s="168" t="s">
        <v>40</v>
      </c>
      <c r="C76" s="163" t="str">
        <f t="shared" si="100"/>
        <v>380.28,201.105</v>
      </c>
      <c r="D76" s="84" t="str">
        <f t="shared" si="101"/>
        <v>445.638772733333,201.105</v>
      </c>
      <c r="I76" s="180" t="str">
        <f t="shared" si="104"/>
        <v>348.59,198.5325</v>
      </c>
      <c r="P76" s="173" t="s">
        <v>40</v>
      </c>
      <c r="Q76" s="174" t="str">
        <f t="shared" si="105"/>
        <v>380.28,0</v>
      </c>
      <c r="R76" s="174" t="str">
        <f t="shared" si="106"/>
        <v>384.220966666667,12.5</v>
      </c>
      <c r="S76" s="174" t="str">
        <f t="shared" si="107"/>
        <v>388.292966666667,25</v>
      </c>
      <c r="T76" s="174" t="str">
        <f t="shared" si="108"/>
        <v>396.436966666667,50</v>
      </c>
      <c r="U76" s="174" t="str">
        <f t="shared" si="109"/>
        <v>404.580966666667,75</v>
      </c>
      <c r="V76" s="174" t="str">
        <f t="shared" si="110"/>
        <v>412.724966666667,100</v>
      </c>
      <c r="W76" s="174" t="str">
        <f t="shared" si="111"/>
        <v>420.868966666667,125</v>
      </c>
      <c r="X76" s="174" t="str">
        <f t="shared" si="112"/>
        <v>429.012966666667,150</v>
      </c>
      <c r="Y76" s="174" t="str">
        <f t="shared" si="113"/>
        <v>433.084966666667,162.5</v>
      </c>
      <c r="Z76" s="174" t="str">
        <f t="shared" si="114"/>
        <v>438.785766666667,180</v>
      </c>
      <c r="AA76" s="174" t="str">
        <f t="shared" si="115"/>
        <v>444.486566666667,197.5</v>
      </c>
      <c r="AB76" s="174" t="str">
        <f t="shared" si="116"/>
        <v>445.638772733333,201.105</v>
      </c>
      <c r="AC76" s="182"/>
      <c r="AE76"/>
      <c r="AF76"/>
      <c r="AG76"/>
      <c r="AH76"/>
      <c r="AI76"/>
      <c r="AJ76"/>
      <c r="AK76"/>
      <c r="AL76"/>
      <c r="AM76"/>
    </row>
    <row r="77" spans="1:39" ht="15" thickBot="1" x14ac:dyDescent="0.35">
      <c r="A77" s="83">
        <f t="shared" si="103"/>
        <v>13</v>
      </c>
      <c r="B77" s="168" t="s">
        <v>40</v>
      </c>
      <c r="C77" s="163" t="str">
        <f t="shared" si="100"/>
        <v>411.97,204.705</v>
      </c>
      <c r="D77" s="84" t="str">
        <f t="shared" si="101"/>
        <v>478.501946466667,204.705</v>
      </c>
      <c r="I77" s="180" t="str">
        <f t="shared" si="104"/>
        <v>380.28,201.105</v>
      </c>
      <c r="P77" s="173" t="s">
        <v>40</v>
      </c>
      <c r="Q77" s="174" t="str">
        <f t="shared" si="105"/>
        <v>411.97,0</v>
      </c>
      <c r="R77" s="174" t="str">
        <f t="shared" si="106"/>
        <v>415.933916666667,12.5</v>
      </c>
      <c r="S77" s="174" t="str">
        <f t="shared" si="107"/>
        <v>420.005916666667,25</v>
      </c>
      <c r="T77" s="174" t="str">
        <f t="shared" si="108"/>
        <v>428.149916666667,50</v>
      </c>
      <c r="U77" s="174" t="str">
        <f t="shared" si="109"/>
        <v>436.293916666667,75</v>
      </c>
      <c r="V77" s="174" t="str">
        <f t="shared" si="110"/>
        <v>444.437916666667,100</v>
      </c>
      <c r="W77" s="174" t="str">
        <f t="shared" si="111"/>
        <v>452.581916666667,125</v>
      </c>
      <c r="X77" s="174" t="str">
        <f t="shared" si="112"/>
        <v>460.725916666667,150</v>
      </c>
      <c r="Y77" s="174" t="str">
        <f t="shared" si="113"/>
        <v>464.797916666667,162.5</v>
      </c>
      <c r="Z77" s="174" t="str">
        <f t="shared" si="114"/>
        <v>470.498716666667,180</v>
      </c>
      <c r="AA77" s="174" t="str">
        <f t="shared" si="115"/>
        <v>476.199516666667,197.5</v>
      </c>
      <c r="AB77" s="174" t="str">
        <f t="shared" si="116"/>
        <v>478.501946466667,204.705</v>
      </c>
      <c r="AC77" s="182"/>
      <c r="AE77"/>
      <c r="AF77"/>
      <c r="AG77"/>
      <c r="AH77"/>
      <c r="AI77"/>
      <c r="AJ77"/>
      <c r="AK77"/>
      <c r="AL77"/>
      <c r="AM77"/>
    </row>
    <row r="78" spans="1:39" ht="15" thickBot="1" x14ac:dyDescent="0.35">
      <c r="A78" s="83">
        <f t="shared" si="103"/>
        <v>14</v>
      </c>
      <c r="B78" s="168" t="s">
        <v>40</v>
      </c>
      <c r="C78" s="163" t="str">
        <f t="shared" si="100"/>
        <v>443.66,209.855</v>
      </c>
      <c r="D78" s="84" t="str">
        <f t="shared" si="101"/>
        <v>511.6514114,209.855</v>
      </c>
      <c r="I78" s="180" t="str">
        <f t="shared" si="104"/>
        <v>411.97,204.705</v>
      </c>
      <c r="P78" s="173" t="s">
        <v>40</v>
      </c>
      <c r="Q78" s="174" t="str">
        <f t="shared" si="105"/>
        <v>443.66,0</v>
      </c>
      <c r="R78" s="174" t="str">
        <f t="shared" si="106"/>
        <v>447.492383333333,12.5</v>
      </c>
      <c r="S78" s="174" t="str">
        <f t="shared" si="107"/>
        <v>451.53055,25</v>
      </c>
      <c r="T78" s="174" t="str">
        <f t="shared" si="108"/>
        <v>459.659433333333,50</v>
      </c>
      <c r="U78" s="174" t="str">
        <f t="shared" si="109"/>
        <v>467.800366666667,75</v>
      </c>
      <c r="V78" s="174" t="str">
        <f t="shared" si="110"/>
        <v>475.944283333333,100</v>
      </c>
      <c r="W78" s="174" t="str">
        <f t="shared" si="111"/>
        <v>484.088283333333,125</v>
      </c>
      <c r="X78" s="174" t="str">
        <f t="shared" si="112"/>
        <v>492.232283333333,150</v>
      </c>
      <c r="Y78" s="174" t="str">
        <f t="shared" si="113"/>
        <v>496.304283333333,162.5</v>
      </c>
      <c r="Z78" s="174" t="str">
        <f t="shared" si="114"/>
        <v>502.005083333333,180</v>
      </c>
      <c r="AA78" s="174" t="str">
        <f t="shared" si="115"/>
        <v>507.705883333333,197.5</v>
      </c>
      <c r="AB78" s="174" t="str">
        <f t="shared" si="116"/>
        <v>511.6514114,209.855</v>
      </c>
      <c r="AC78" s="182"/>
      <c r="AE78"/>
      <c r="AF78"/>
      <c r="AG78"/>
      <c r="AH78"/>
      <c r="AI78"/>
      <c r="AJ78"/>
      <c r="AK78"/>
      <c r="AL78"/>
      <c r="AM78"/>
    </row>
    <row r="79" spans="1:39" ht="15" thickBot="1" x14ac:dyDescent="0.35">
      <c r="A79" s="83">
        <f t="shared" si="103"/>
        <v>15</v>
      </c>
      <c r="B79" s="168" t="s">
        <v>40</v>
      </c>
      <c r="C79" s="163" t="str">
        <f t="shared" si="100"/>
        <v>475.35,215.0425</v>
      </c>
      <c r="D79" s="84" t="str">
        <f t="shared" si="101"/>
        <v>543.877614468333,215.0425</v>
      </c>
      <c r="I79" s="180" t="str">
        <f t="shared" si="104"/>
        <v>443.66,209.855</v>
      </c>
      <c r="P79" s="173" t="s">
        <v>40</v>
      </c>
      <c r="Q79" s="174" t="str">
        <f t="shared" si="105"/>
        <v>475.35,0</v>
      </c>
      <c r="R79" s="174" t="str">
        <f t="shared" si="106"/>
        <v>478.902658333333,12.5</v>
      </c>
      <c r="S79" s="174" t="str">
        <f t="shared" si="107"/>
        <v>482.7942,25</v>
      </c>
      <c r="T79" s="174" t="str">
        <f t="shared" si="108"/>
        <v>490.690416666667,50</v>
      </c>
      <c r="U79" s="174" t="str">
        <f t="shared" si="109"/>
        <v>498.660333333333,75</v>
      </c>
      <c r="V79" s="174" t="str">
        <f t="shared" si="110"/>
        <v>506.6853,100</v>
      </c>
      <c r="W79" s="174" t="str">
        <f t="shared" si="111"/>
        <v>514.756266666667,125</v>
      </c>
      <c r="X79" s="174" t="str">
        <f t="shared" si="112"/>
        <v>522.858533333333,150</v>
      </c>
      <c r="Y79" s="174" t="str">
        <f t="shared" si="113"/>
        <v>526.916691666667,162.5</v>
      </c>
      <c r="Z79" s="174" t="str">
        <f t="shared" si="114"/>
        <v>532.603351666667,180</v>
      </c>
      <c r="AA79" s="174" t="str">
        <f t="shared" si="115"/>
        <v>538.294503333333,197.5</v>
      </c>
      <c r="AB79" s="174" t="str">
        <f t="shared" si="116"/>
        <v>543.877614468333,215.0425</v>
      </c>
      <c r="AC79" s="182"/>
      <c r="AE79"/>
      <c r="AF79"/>
      <c r="AG79"/>
      <c r="AH79"/>
      <c r="AI79"/>
      <c r="AJ79"/>
      <c r="AK79"/>
      <c r="AL79"/>
      <c r="AM79"/>
    </row>
    <row r="80" spans="1:39" ht="15" thickBot="1" x14ac:dyDescent="0.35">
      <c r="A80" s="83">
        <f t="shared" si="103"/>
        <v>16</v>
      </c>
      <c r="B80" s="168" t="s">
        <v>40</v>
      </c>
      <c r="C80" s="163" t="str">
        <f t="shared" si="100"/>
        <v>507.04,220.285</v>
      </c>
      <c r="D80" s="84" t="str">
        <f t="shared" si="101"/>
        <v>574.505749526667,220.285</v>
      </c>
      <c r="I80" s="180" t="str">
        <f t="shared" si="104"/>
        <v>475.35,215.0425</v>
      </c>
      <c r="P80" s="173" t="s">
        <v>40</v>
      </c>
      <c r="Q80" s="174" t="str">
        <f t="shared" si="105"/>
        <v>507.04,0</v>
      </c>
      <c r="R80" s="174" t="str">
        <f t="shared" si="106"/>
        <v>510.255691666667,12.5</v>
      </c>
      <c r="S80" s="174" t="str">
        <f t="shared" si="107"/>
        <v>513.834458333333,25</v>
      </c>
      <c r="T80" s="174" t="str">
        <f t="shared" si="108"/>
        <v>521.277691666667,50</v>
      </c>
      <c r="U80" s="174" t="str">
        <f t="shared" si="109"/>
        <v>528.874808333333,75</v>
      </c>
      <c r="V80" s="174" t="str">
        <f t="shared" si="110"/>
        <v>536.574641666667,100</v>
      </c>
      <c r="W80" s="174" t="str">
        <f t="shared" si="111"/>
        <v>544.365325,125</v>
      </c>
      <c r="X80" s="174" t="str">
        <f t="shared" si="112"/>
        <v>552.240475,150</v>
      </c>
      <c r="Y80" s="174" t="str">
        <f t="shared" si="113"/>
        <v>556.206741666667,162.5</v>
      </c>
      <c r="Z80" s="174" t="str">
        <f t="shared" si="114"/>
        <v>561.781716666667,180</v>
      </c>
      <c r="AA80" s="174" t="str">
        <f t="shared" si="115"/>
        <v>567.380211666667,197.5</v>
      </c>
      <c r="AB80" s="174" t="str">
        <f t="shared" si="116"/>
        <v>574.505749526667,220.285</v>
      </c>
      <c r="AC80" s="182"/>
      <c r="AE80"/>
      <c r="AF80"/>
      <c r="AG80"/>
      <c r="AH80"/>
      <c r="AI80"/>
      <c r="AJ80"/>
      <c r="AK80"/>
      <c r="AL80"/>
      <c r="AM80"/>
    </row>
    <row r="81" spans="1:29" ht="15" thickBot="1" x14ac:dyDescent="0.35">
      <c r="A81" s="83">
        <f t="shared" si="103"/>
        <v>17</v>
      </c>
      <c r="B81" s="168" t="s">
        <v>40</v>
      </c>
      <c r="C81" s="163" t="str">
        <f t="shared" si="100"/>
        <v>538.73,227.225</v>
      </c>
      <c r="D81" s="84" t="str">
        <f t="shared" si="101"/>
        <v>602.818543516667,227.225</v>
      </c>
      <c r="I81" s="180" t="str">
        <f t="shared" si="104"/>
        <v>507.04,220.285</v>
      </c>
      <c r="P81" s="173" t="s">
        <v>40</v>
      </c>
      <c r="Q81" s="174" t="str">
        <f t="shared" si="105"/>
        <v>538.73,0</v>
      </c>
      <c r="R81" s="174" t="str">
        <f t="shared" si="106"/>
        <v>541.491675,12.5</v>
      </c>
      <c r="S81" s="174" t="str">
        <f t="shared" si="107"/>
        <v>544.707783333333,25</v>
      </c>
      <c r="T81" s="174" t="str">
        <f t="shared" si="108"/>
        <v>551.354316666667,50</v>
      </c>
      <c r="U81" s="174" t="str">
        <f t="shared" si="109"/>
        <v>558.251033333333,75</v>
      </c>
      <c r="V81" s="174" t="str">
        <f t="shared" si="110"/>
        <v>565.333233333333,100</v>
      </c>
      <c r="W81" s="174" t="str">
        <f t="shared" si="111"/>
        <v>572.55445,125</v>
      </c>
      <c r="X81" s="174" t="str">
        <f t="shared" si="112"/>
        <v>579.8894,150</v>
      </c>
      <c r="Y81" s="174" t="str">
        <f t="shared" si="113"/>
        <v>583.594425,162.5</v>
      </c>
      <c r="Z81" s="174" t="str">
        <f t="shared" si="114"/>
        <v>588.818968333333,180</v>
      </c>
      <c r="AA81" s="174" t="str">
        <f t="shared" si="115"/>
        <v>594.083376666667,197.5</v>
      </c>
      <c r="AB81" s="174" t="str">
        <f t="shared" si="116"/>
        <v>602.818543516667,227.225</v>
      </c>
      <c r="AC81" s="182"/>
    </row>
    <row r="82" spans="1:29" ht="15" thickBot="1" x14ac:dyDescent="0.35">
      <c r="A82" s="83">
        <f t="shared" si="103"/>
        <v>18</v>
      </c>
      <c r="B82" s="168" t="s">
        <v>40</v>
      </c>
      <c r="C82" s="163" t="str">
        <f t="shared" si="100"/>
        <v>570.42,234.71</v>
      </c>
      <c r="D82" s="84" t="str">
        <f t="shared" si="101"/>
        <v>626.183606953333,234.71</v>
      </c>
      <c r="I82" s="180" t="str">
        <f t="shared" si="104"/>
        <v>538.73,227.225</v>
      </c>
      <c r="P82" s="173" t="s">
        <v>40</v>
      </c>
      <c r="Q82" s="174" t="str">
        <f t="shared" si="105"/>
        <v>570.42,0</v>
      </c>
      <c r="R82" s="174" t="str">
        <f t="shared" si="106"/>
        <v>572.517708333333,12.5</v>
      </c>
      <c r="S82" s="174" t="str">
        <f t="shared" si="107"/>
        <v>574.959075,25</v>
      </c>
      <c r="T82" s="174" t="str">
        <f t="shared" si="108"/>
        <v>580.246708333333,50</v>
      </c>
      <c r="U82" s="174" t="str">
        <f t="shared" si="109"/>
        <v>585.875275,75</v>
      </c>
      <c r="V82" s="174" t="str">
        <f t="shared" si="110"/>
        <v>591.788475,100</v>
      </c>
      <c r="W82" s="174" t="str">
        <f t="shared" si="111"/>
        <v>597.937408333333,125</v>
      </c>
      <c r="X82" s="174" t="str">
        <f t="shared" si="112"/>
        <v>604.266308333333,150</v>
      </c>
      <c r="Y82" s="174" t="str">
        <f t="shared" si="113"/>
        <v>607.486283333333,162.5</v>
      </c>
      <c r="Z82" s="174" t="str">
        <f t="shared" si="114"/>
        <v>612.048813333333,180</v>
      </c>
      <c r="AA82" s="174" t="str">
        <f t="shared" si="115"/>
        <v>616.669431666667,197.5</v>
      </c>
      <c r="AB82" s="174" t="str">
        <f t="shared" si="116"/>
        <v>626.183606953333,234.71</v>
      </c>
      <c r="AC82" s="182"/>
    </row>
    <row r="83" spans="1:29" ht="15" thickBot="1" x14ac:dyDescent="0.35">
      <c r="A83" s="83">
        <f t="shared" si="103"/>
        <v>18.5</v>
      </c>
      <c r="B83" s="168" t="s">
        <v>40</v>
      </c>
      <c r="C83" s="82" t="str">
        <f t="shared" si="100"/>
        <v>586.265,238.46</v>
      </c>
      <c r="D83" s="91" t="str">
        <f t="shared" si="101"/>
        <v>634.934232346667,238.46</v>
      </c>
      <c r="I83" s="180" t="str">
        <f t="shared" si="104"/>
        <v>570.42,234.71</v>
      </c>
      <c r="P83" s="173" t="s">
        <v>40</v>
      </c>
      <c r="Q83" s="174" t="str">
        <f t="shared" si="105"/>
        <v>586.265,0</v>
      </c>
      <c r="R83" s="174" t="str">
        <f t="shared" si="106"/>
        <v>587.875625,12.5</v>
      </c>
      <c r="S83" s="174" t="str">
        <f t="shared" si="107"/>
        <v>589.899741666667,25</v>
      </c>
      <c r="T83" s="174" t="str">
        <f t="shared" si="108"/>
        <v>594.182675,50</v>
      </c>
      <c r="U83" s="174" t="str">
        <f t="shared" si="109"/>
        <v>598.845841666667,75</v>
      </c>
      <c r="V83" s="174" t="str">
        <f t="shared" si="110"/>
        <v>603.823875,100</v>
      </c>
      <c r="W83" s="174" t="str">
        <f t="shared" si="111"/>
        <v>609.170225,125</v>
      </c>
      <c r="X83" s="174" t="str">
        <f t="shared" si="112"/>
        <v>614.748808333333,150</v>
      </c>
      <c r="Y83" s="174" t="str">
        <f t="shared" si="113"/>
        <v>617.568775,162.5</v>
      </c>
      <c r="Z83" s="174" t="str">
        <f t="shared" si="114"/>
        <v>621.587113333333,180</v>
      </c>
      <c r="AA83" s="174" t="str">
        <f t="shared" si="115"/>
        <v>625.67831,197.5</v>
      </c>
      <c r="AB83" s="174" t="str">
        <f t="shared" si="116"/>
        <v>634.934232346667,238.46</v>
      </c>
      <c r="AC83" s="182"/>
    </row>
    <row r="84" spans="1:29" ht="15" thickBot="1" x14ac:dyDescent="0.35">
      <c r="A84" s="83">
        <f t="shared" si="103"/>
        <v>19</v>
      </c>
      <c r="B84" s="168" t="s">
        <v>40</v>
      </c>
      <c r="C84" s="163" t="str">
        <f t="shared" si="100"/>
        <v>602.11,242.195</v>
      </c>
      <c r="D84" s="84" t="str">
        <f t="shared" si="101"/>
        <v>639.779255243333,242.195</v>
      </c>
      <c r="I84" s="180" t="str">
        <f t="shared" si="104"/>
        <v>586.265,238.46</v>
      </c>
      <c r="P84" s="173" t="s">
        <v>40</v>
      </c>
      <c r="Q84" s="174" t="str">
        <f t="shared" si="105"/>
        <v>602.11,1.275</v>
      </c>
      <c r="R84" s="174" t="str">
        <f t="shared" si="106"/>
        <v>603.044058333333,12.5</v>
      </c>
      <c r="S84" s="174" t="str">
        <f t="shared" si="107"/>
        <v>604.33935,25</v>
      </c>
      <c r="T84" s="174" t="str">
        <f t="shared" si="108"/>
        <v>607.3168,50</v>
      </c>
      <c r="U84" s="174" t="str">
        <f t="shared" si="109"/>
        <v>610.706383333333,75</v>
      </c>
      <c r="V84" s="174" t="str">
        <f t="shared" si="110"/>
        <v>614.4211,100</v>
      </c>
      <c r="W84" s="174" t="str">
        <f t="shared" si="111"/>
        <v>618.438583333333,125</v>
      </c>
      <c r="X84" s="174" t="str">
        <f t="shared" si="112"/>
        <v>622.728816666667,150</v>
      </c>
      <c r="Y84" s="174" t="str">
        <f t="shared" si="113"/>
        <v>624.964316666667,162.5</v>
      </c>
      <c r="Z84" s="174" t="str">
        <f t="shared" si="114"/>
        <v>628.181822333333,180</v>
      </c>
      <c r="AA84" s="174" t="str">
        <f t="shared" si="115"/>
        <v>631.498553,197.5</v>
      </c>
      <c r="AB84" s="174" t="str">
        <f t="shared" si="116"/>
        <v>639.779255243333,242.195</v>
      </c>
      <c r="AC84" s="182"/>
    </row>
    <row r="85" spans="1:29" ht="15" thickBot="1" x14ac:dyDescent="0.35">
      <c r="A85" s="83">
        <f t="shared" si="103"/>
        <v>19.5</v>
      </c>
      <c r="B85" s="168" t="s">
        <v>40</v>
      </c>
      <c r="C85" s="82" t="str">
        <f t="shared" si="100"/>
        <v>617.955,245.945</v>
      </c>
      <c r="D85" s="91" t="str">
        <f t="shared" si="101"/>
        <v>639.789631849,245.945</v>
      </c>
      <c r="I85" s="180" t="str">
        <f t="shared" si="104"/>
        <v>602.11,242.195</v>
      </c>
      <c r="P85" s="173" t="s">
        <v>40</v>
      </c>
      <c r="Q85" s="174" t="str">
        <f t="shared" si="105"/>
        <v>617.955,6.9</v>
      </c>
      <c r="R85" s="174" t="str">
        <f t="shared" si="106"/>
        <v>617.98925,12.5</v>
      </c>
      <c r="S85" s="174" t="str">
        <f t="shared" si="107"/>
        <v>618.348708333333,25</v>
      </c>
      <c r="T85" s="174" t="str">
        <f t="shared" si="108"/>
        <v>619.542675,50</v>
      </c>
      <c r="U85" s="174" t="str">
        <f t="shared" si="109"/>
        <v>621.167825,75</v>
      </c>
      <c r="V85" s="174" t="str">
        <f t="shared" si="110"/>
        <v>623.138675,100</v>
      </c>
      <c r="W85" s="174" t="str">
        <f t="shared" si="111"/>
        <v>625.402958333333,125</v>
      </c>
      <c r="X85" s="174" t="str">
        <f t="shared" si="112"/>
        <v>627.942941666667,150</v>
      </c>
      <c r="Y85" s="174" t="str">
        <f t="shared" si="113"/>
        <v>629.311658333333,162.5</v>
      </c>
      <c r="Z85" s="174" t="str">
        <f t="shared" si="114"/>
        <v>631.333305,180</v>
      </c>
      <c r="AA85" s="174" t="str">
        <f t="shared" si="115"/>
        <v>633.4923535,197.5</v>
      </c>
      <c r="AB85" s="174" t="str">
        <f t="shared" si="116"/>
        <v>639.789631849,245.945</v>
      </c>
      <c r="AC85" s="182"/>
    </row>
    <row r="86" spans="1:29" ht="15" thickBot="1" x14ac:dyDescent="0.35">
      <c r="A86" s="83" t="str">
        <f t="shared" si="103"/>
        <v>FP</v>
      </c>
      <c r="B86" s="168" t="s">
        <v>40</v>
      </c>
      <c r="C86" s="163" t="str">
        <f t="shared" si="100"/>
        <v>633.8,249.7175</v>
      </c>
      <c r="D86" s="84" t="str">
        <f t="shared" si="101"/>
        <v>636.402028913333,249.7175</v>
      </c>
      <c r="I86" s="180" t="str">
        <f t="shared" si="104"/>
        <v>617.955,245.945</v>
      </c>
      <c r="P86" s="175" t="s">
        <v>40</v>
      </c>
      <c r="Q86" s="176" t="str">
        <f t="shared" si="105"/>
        <v>-,-</v>
      </c>
      <c r="R86" s="176" t="str">
        <f t="shared" si="106"/>
        <v>-,-</v>
      </c>
      <c r="S86" s="176" t="str">
        <f t="shared" si="107"/>
        <v>-,-</v>
      </c>
      <c r="T86" s="176" t="str">
        <f t="shared" si="108"/>
        <v>-,-</v>
      </c>
      <c r="U86" s="176" t="str">
        <f t="shared" si="109"/>
        <v>-,-</v>
      </c>
      <c r="V86" s="176" t="str">
        <f t="shared" si="110"/>
        <v>-,-</v>
      </c>
      <c r="W86" s="176" t="str">
        <f t="shared" si="111"/>
        <v>633.8,148.125</v>
      </c>
      <c r="X86" s="176" t="str">
        <f t="shared" si="112"/>
        <v>633.8,150</v>
      </c>
      <c r="Y86" s="176" t="str">
        <f t="shared" si="113"/>
        <v>633.813533333333,162.5</v>
      </c>
      <c r="Z86" s="176" t="str">
        <f t="shared" si="114"/>
        <v>634.000386666667,180</v>
      </c>
      <c r="AA86" s="176" t="str">
        <f t="shared" si="115"/>
        <v>634.334076666667,197.5</v>
      </c>
      <c r="AB86" s="174" t="str">
        <f t="shared" si="116"/>
        <v>636.402028913333,249.7175</v>
      </c>
      <c r="AC86" s="182"/>
    </row>
    <row r="87" spans="1:29" ht="15" thickBot="1" x14ac:dyDescent="0.35">
      <c r="I87" s="181" t="str">
        <f t="shared" si="104"/>
        <v>633.8,249.7175</v>
      </c>
      <c r="T87" s="68" t="s">
        <v>76</v>
      </c>
      <c r="AB87" s="177" t="s">
        <v>67</v>
      </c>
      <c r="AC87" s="183" t="s">
        <v>69</v>
      </c>
    </row>
    <row r="88" spans="1:29" ht="15.75" customHeight="1" x14ac:dyDescent="0.3">
      <c r="AB88" s="178" t="s">
        <v>68</v>
      </c>
      <c r="AC88" s="184" t="s">
        <v>70</v>
      </c>
    </row>
  </sheetData>
  <mergeCells count="9">
    <mergeCell ref="Q4:Q28"/>
    <mergeCell ref="AR1:BA1"/>
    <mergeCell ref="B2:C2"/>
    <mergeCell ref="Q2:Q3"/>
    <mergeCell ref="AF2:AG2"/>
    <mergeCell ref="S2:T2"/>
    <mergeCell ref="AI2:AI3"/>
    <mergeCell ref="AJ2:AJ3"/>
    <mergeCell ref="AK2:AK3"/>
  </mergeCells>
  <pageMargins left="0.7" right="0.7" top="0.75" bottom="0.75" header="0.3" footer="0.3"/>
  <pageSetup paperSize="9" scale="55" orientation="portrait" horizontalDpi="4294967293" r:id="rId1"/>
  <rowBreaks count="1" manualBreakCount="1">
    <brk id="33" max="16383" man="1"/>
  </rowBreaks>
  <colBreaks count="1" manualBreakCount="1">
    <brk id="13" max="104857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4</vt:i4>
      </vt:variant>
    </vt:vector>
  </HeadingPairs>
  <TitlesOfParts>
    <vt:vector size="10" baseType="lpstr">
      <vt:lpstr>READ ME</vt:lpstr>
      <vt:lpstr>Tabel Offset</vt:lpstr>
      <vt:lpstr>Sheet1</vt:lpstr>
      <vt:lpstr>Perhitungan Main Part</vt:lpstr>
      <vt:lpstr>Perhitungan Cant Part</vt:lpstr>
      <vt:lpstr>Sketsa Bonjean</vt:lpstr>
      <vt:lpstr>'Perhitungan Cant Part'!Print_Area</vt:lpstr>
      <vt:lpstr>'Perhitungan Main Part'!Print_Area</vt:lpstr>
      <vt:lpstr>'Sketsa Bonjean'!Print_Area</vt:lpstr>
      <vt:lpstr>'Tabel Offset'!Print_Area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SUBJECT</dc:creator>
  <cp:lastModifiedBy>ASUS</cp:lastModifiedBy>
  <cp:lastPrinted>2025-05-28T06:32:55Z</cp:lastPrinted>
  <dcterms:created xsi:type="dcterms:W3CDTF">2019-10-17T04:07:17Z</dcterms:created>
  <dcterms:modified xsi:type="dcterms:W3CDTF">2025-05-30T14:21:06Z</dcterms:modified>
</cp:coreProperties>
</file>